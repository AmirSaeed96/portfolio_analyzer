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Daily Update" sheetId="2" state="visible" r:id="rId2"/>
    <sheet name="How to Upd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0.00"/>
  </numFmts>
  <fonts count="7">
    <font>
      <name val="Calibri"/>
      <color theme="1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00FFFFFF"/>
      <sz val="16"/>
    </font>
    <font>
      <name val="Calibri"/>
      <b val="1"/>
      <i val="1"/>
      <color theme="1"/>
      <sz val="11"/>
    </font>
    <font>
      <name val="Calibri"/>
      <i val="1"/>
      <color theme="1"/>
      <sz val="11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8FAFC"/>
      </patternFill>
    </fill>
  </fills>
  <borders count="34">
    <border/>
    <border>
      <top style="thin">
        <color indexed="64"/>
      </top>
      <bottom style="double">
        <color indexed="64"/>
      </bottom>
    </border>
    <border/>
    <border>
      <top style="thin">
        <color indexed="64"/>
      </top>
      <bottom style="double">
        <color indexed="64"/>
      </bottom>
    </border>
    <border>
      <right>
        <color rgb="00CBD5E1"/>
      </right>
      <bottom>
        <color rgb="00CBD5E1"/>
      </bottom>
    </border>
    <border>
      <left>
        <color rgb="00CBD5E1"/>
      </left>
      <right>
        <color rgb="00CBD5E1"/>
      </right>
      <bottom>
        <color rgb="00CBD5E1"/>
      </bottom>
    </border>
    <border>
      <left>
        <color rgb="00CBD5E1"/>
      </left>
      <bottom>
        <color rgb="00CBD5E1"/>
      </bottom>
    </border>
    <border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top>
        <color rgb="00CBD5E1"/>
      </top>
      <bottom>
        <color rgb="00CBD5E1"/>
      </bottom>
    </border>
    <border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top>
        <color rgb="00CBD5E1"/>
      </top>
      <bottom>
        <color rgb="0064748B"/>
      </bottom>
    </border>
    <border>
      <right>
        <color rgb="00CBD5E1"/>
      </right>
      <bottom>
        <color rgb="00CBD5E1"/>
      </bottom>
    </border>
    <border>
      <left>
        <color rgb="00CBD5E1"/>
      </left>
      <right>
        <color rgb="00CBD5E1"/>
      </right>
      <bottom>
        <color rgb="00CBD5E1"/>
      </bottom>
    </border>
    <border>
      <left>
        <color rgb="00CBD5E1"/>
      </left>
      <bottom>
        <color rgb="00CBD5E1"/>
      </bottom>
    </border>
    <border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top>
        <color rgb="00CBD5E1"/>
      </top>
      <bottom>
        <color rgb="00CBD5E1"/>
      </bottom>
    </border>
    <border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top>
        <color rgb="00CBD5E1"/>
      </top>
      <bottom>
        <color rgb="0064748B"/>
      </bottom>
    </border>
    <border>
      <bottom>
        <color rgb="00CBD5E1"/>
      </bottom>
    </border>
    <border>
      <top>
        <color rgb="00CBD5E1"/>
      </top>
      <bottom>
        <color rgb="00CBD5E1"/>
      </bottom>
    </border>
    <border>
      <top>
        <color rgb="00CBD5E1"/>
      </top>
    </border>
    <border>
      <bottom>
        <color rgb="00CBD5E1"/>
      </bottom>
    </border>
    <border>
      <top>
        <color rgb="00CBD5E1"/>
      </top>
      <bottom>
        <color rgb="00CBD5E1"/>
      </bottom>
    </border>
    <border>
      <top>
        <color rgb="00CBD5E1"/>
      </top>
    </border>
    <border>
      <right>
        <color rgb="00CBD5E1"/>
      </right>
      <top>
        <color rgb="00CBD5E1"/>
      </top>
    </border>
    <border>
      <left>
        <color rgb="00CBD5E1"/>
      </left>
      <right>
        <color rgb="00CBD5E1"/>
      </right>
      <top>
        <color rgb="00CBD5E1"/>
      </top>
    </border>
    <border>
      <left>
        <color rgb="00CBD5E1"/>
      </left>
      <top>
        <color rgb="00CBD5E1"/>
      </top>
    </border>
    <border>
      <right>
        <color rgb="00CBD5E1"/>
      </right>
      <top>
        <color rgb="00CBD5E1"/>
      </top>
    </border>
    <border>
      <left>
        <color rgb="00CBD5E1"/>
      </left>
      <right>
        <color rgb="00CBD5E1"/>
      </right>
      <top>
        <color rgb="00CBD5E1"/>
      </top>
    </border>
    <border>
      <left>
        <color rgb="00CBD5E1"/>
      </left>
      <top>
        <color rgb="00CBD5E1"/>
      </top>
    </border>
  </borders>
  <cellStyleXfs count="2">
    <xf numFmtId="0" fontId="1" fillId="0" borderId="2"/>
    <xf numFmtId="9" fontId="1" fillId="0" borderId="2"/>
  </cellStyleXfs>
  <cellXfs count="194">
    <xf numFmtId="0" fontId="0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9" fontId="0" fillId="0" borderId="0" pivotButton="0" quotePrefix="0" xfId="1"/>
    <xf numFmtId="10" fontId="0" fillId="0" borderId="0" pivotButton="0" quotePrefix="0" xfId="1"/>
    <xf numFmtId="0" fontId="0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10" fontId="2" fillId="0" borderId="0" pivotButton="0" quotePrefix="0" xfId="1"/>
    <xf numFmtId="14" fontId="2" fillId="0" borderId="0" pivotButton="0" quotePrefix="0" xfId="0"/>
    <xf numFmtId="10" fontId="2" fillId="0" borderId="0" pivotButton="0" quotePrefix="0" xfId="0"/>
    <xf numFmtId="0" fontId="0" fillId="0" borderId="0" pivotButton="0" quotePrefix="0" xfId="0"/>
    <xf numFmtId="10" fontId="0" fillId="0" borderId="0" pivotButton="0" quotePrefix="0" xfId="0"/>
    <xf numFmtId="22" fontId="2" fillId="0" borderId="0" applyAlignment="1" pivotButton="0" quotePrefix="0" xfId="0">
      <alignment horizontal="lef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0" fillId="0" borderId="2" pivotButton="0" quotePrefix="0" xfId="0"/>
    <xf numFmtId="10" fontId="0" fillId="0" borderId="2" pivotButton="0" quotePrefix="0" xfId="0"/>
    <xf numFmtId="14" fontId="0" fillId="0" borderId="2" pivotButton="0" quotePrefix="0" xfId="0"/>
    <xf numFmtId="9" fontId="0" fillId="0" borderId="2" pivotButton="0" quotePrefix="0" xfId="0"/>
    <xf numFmtId="0" fontId="0" fillId="2" borderId="2" applyAlignment="1" pivotButton="0" quotePrefix="0" xfId="0">
      <alignment horizontal="left" vertical="center" wrapText="1"/>
    </xf>
    <xf numFmtId="0" fontId="2" fillId="0" borderId="2" pivotButton="0" quotePrefix="0" xfId="0"/>
    <xf numFmtId="10" fontId="2" fillId="0" borderId="2" pivotButton="0" quotePrefix="0" xfId="0"/>
    <xf numFmtId="14" fontId="2" fillId="0" borderId="2" pivotButton="0" quotePrefix="0" xfId="0"/>
    <xf numFmtId="22" fontId="2" fillId="0" borderId="2" applyAlignment="1" pivotButton="0" quotePrefix="0" xfId="0">
      <alignment horizontal="left"/>
    </xf>
    <xf numFmtId="0" fontId="2" fillId="0" borderId="3" pivotButton="0" quotePrefix="0" xfId="0"/>
    <xf numFmtId="0" fontId="2" fillId="0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0" fillId="3" borderId="2" pivotButton="0" quotePrefix="0" xfId="0"/>
    <xf numFmtId="0" fontId="3" fillId="3" borderId="2" pivotButton="0" quotePrefix="0" xfId="0"/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0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wrapText="1"/>
    </xf>
    <xf numFmtId="0" fontId="5" fillId="4" borderId="0" applyAlignment="1" pivotButton="0" quotePrefix="0" xfId="0">
      <alignment wrapText="1"/>
    </xf>
    <xf numFmtId="0" fontId="2" fillId="4" borderId="2" pivotButton="0" quotePrefix="0" xfId="0"/>
    <xf numFmtId="0" fontId="0" fillId="4" borderId="2" pivotButton="0" quotePrefix="0" xfId="0"/>
    <xf numFmtId="0" fontId="4" fillId="4" borderId="2" pivotButton="0" quotePrefix="0" xfId="0"/>
    <xf numFmtId="0" fontId="5" fillId="4" borderId="2" pivotButton="0" quotePrefix="0" xfId="0"/>
    <xf numFmtId="0" fontId="4" fillId="4" borderId="2" applyAlignment="1" pivotButton="0" quotePrefix="0" xfId="0">
      <alignment wrapText="1"/>
    </xf>
    <xf numFmtId="0" fontId="5" fillId="4" borderId="2" applyAlignment="1" pivotButton="0" quotePrefix="0" xfId="0">
      <alignment wrapText="1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horizontal="center" wrapText="1"/>
    </xf>
    <xf numFmtId="0" fontId="6" fillId="3" borderId="2" pivotButton="0" quotePrefix="0" xfId="0"/>
    <xf numFmtId="0" fontId="6" fillId="3" borderId="2" applyAlignment="1" pivotButton="0" quotePrefix="0" xfId="0">
      <alignment wrapText="1"/>
    </xf>
    <xf numFmtId="0" fontId="6" fillId="3" borderId="2" applyAlignment="1" pivotButton="0" quotePrefix="0" xfId="0">
      <alignment horizontal="center" wrapText="1"/>
    </xf>
    <xf numFmtId="0" fontId="0" fillId="5" borderId="0" pivotButton="0" quotePrefix="0" xfId="0"/>
    <xf numFmtId="0" fontId="0" fillId="5" borderId="2" pivotButton="0" quotePrefix="0" xfId="0"/>
    <xf numFmtId="0" fontId="0" fillId="6" borderId="0" pivotButton="0" quotePrefix="0" xfId="0"/>
    <xf numFmtId="0" fontId="0" fillId="6" borderId="2" pivotButton="0" quotePrefix="0" xfId="0"/>
    <xf numFmtId="165" fontId="0" fillId="5" borderId="0" pivotButton="0" quotePrefix="0" xfId="0"/>
    <xf numFmtId="165" fontId="0" fillId="5" borderId="2" pivotButton="0" quotePrefix="0" xfId="0"/>
    <xf numFmtId="3" fontId="0" fillId="5" borderId="0" pivotButton="0" quotePrefix="0" xfId="0"/>
    <xf numFmtId="3" fontId="0" fillId="5" borderId="2" pivotButton="0" quotePrefix="0" xfId="0"/>
    <xf numFmtId="10" fontId="0" fillId="5" borderId="0" pivotButton="0" quotePrefix="0" xfId="0"/>
    <xf numFmtId="10" fontId="0" fillId="5" borderId="2" pivotButton="0" quotePrefix="0" xfId="0"/>
    <xf numFmtId="164" fontId="0" fillId="5" borderId="0" pivotButton="0" quotePrefix="0" xfId="0"/>
    <xf numFmtId="164" fontId="0" fillId="5" borderId="2" pivotButton="0" quotePrefix="0" xfId="0"/>
    <xf numFmtId="0" fontId="6" fillId="3" borderId="4" applyAlignment="1" pivotButton="0" quotePrefix="0" xfId="0">
      <alignment horizontal="center" wrapText="1"/>
    </xf>
    <xf numFmtId="0" fontId="6" fillId="3" borderId="5" applyAlignment="1" pivotButton="0" quotePrefix="0" xfId="0">
      <alignment horizontal="center" wrapText="1"/>
    </xf>
    <xf numFmtId="0" fontId="6" fillId="3" borderId="6" applyAlignment="1" pivotButton="0" quotePrefix="0" xfId="0">
      <alignment horizontal="center" wrapText="1"/>
    </xf>
    <xf numFmtId="0" fontId="0" fillId="6" borderId="7" pivotButton="0" quotePrefix="0" xfId="0"/>
    <xf numFmtId="0" fontId="0" fillId="6" borderId="8" pivotButton="0" quotePrefix="0" xfId="0"/>
    <xf numFmtId="165" fontId="0" fillId="5" borderId="8" pivotButton="0" quotePrefix="0" xfId="0"/>
    <xf numFmtId="3" fontId="0" fillId="5" borderId="8" pivotButton="0" quotePrefix="0" xfId="0"/>
    <xf numFmtId="10" fontId="0" fillId="5" borderId="8" pivotButton="0" quotePrefix="0" xfId="0"/>
    <xf numFmtId="164" fontId="0" fillId="5" borderId="8" pivotButton="0" quotePrefix="0" xfId="0"/>
    <xf numFmtId="0" fontId="0" fillId="5" borderId="9" pivotButton="0" quotePrefix="0" xfId="0"/>
    <xf numFmtId="0" fontId="0" fillId="6" borderId="10" pivotButton="0" quotePrefix="0" xfId="0"/>
    <xf numFmtId="0" fontId="0" fillId="6" borderId="11" pivotButton="0" quotePrefix="0" xfId="0"/>
    <xf numFmtId="165" fontId="0" fillId="5" borderId="11" pivotButton="0" quotePrefix="0" xfId="0"/>
    <xf numFmtId="3" fontId="0" fillId="5" borderId="11" pivotButton="0" quotePrefix="0" xfId="0"/>
    <xf numFmtId="10" fontId="0" fillId="5" borderId="11" pivotButton="0" quotePrefix="0" xfId="0"/>
    <xf numFmtId="164" fontId="0" fillId="5" borderId="11" pivotButton="0" quotePrefix="0" xfId="0"/>
    <xf numFmtId="0" fontId="0" fillId="5" borderId="12" pivotButton="0" quotePrefix="0" xfId="0"/>
    <xf numFmtId="0" fontId="6" fillId="3" borderId="1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5" applyAlignment="1" pivotButton="0" quotePrefix="0" xfId="0">
      <alignment horizontal="center" wrapText="1"/>
    </xf>
    <xf numFmtId="0" fontId="0" fillId="6" borderId="16" pivotButton="0" quotePrefix="0" xfId="0"/>
    <xf numFmtId="0" fontId="0" fillId="6" borderId="17" pivotButton="0" quotePrefix="0" xfId="0"/>
    <xf numFmtId="165" fontId="0" fillId="5" borderId="17" pivotButton="0" quotePrefix="0" xfId="0"/>
    <xf numFmtId="3" fontId="0" fillId="5" borderId="17" pivotButton="0" quotePrefix="0" xfId="0"/>
    <xf numFmtId="10" fontId="0" fillId="5" borderId="17" pivotButton="0" quotePrefix="0" xfId="0"/>
    <xf numFmtId="164" fontId="0" fillId="5" borderId="17" pivotButton="0" quotePrefix="0" xfId="0"/>
    <xf numFmtId="0" fontId="0" fillId="5" borderId="18" pivotButton="0" quotePrefix="0" xfId="0"/>
    <xf numFmtId="0" fontId="0" fillId="6" borderId="19" pivotButton="0" quotePrefix="0" xfId="0"/>
    <xf numFmtId="0" fontId="0" fillId="6" borderId="20" pivotButton="0" quotePrefix="0" xfId="0"/>
    <xf numFmtId="165" fontId="0" fillId="5" borderId="20" pivotButton="0" quotePrefix="0" xfId="0"/>
    <xf numFmtId="3" fontId="0" fillId="5" borderId="20" pivotButton="0" quotePrefix="0" xfId="0"/>
    <xf numFmtId="10" fontId="0" fillId="5" borderId="20" pivotButton="0" quotePrefix="0" xfId="0"/>
    <xf numFmtId="164" fontId="0" fillId="5" borderId="20" pivotButton="0" quotePrefix="0" xfId="0"/>
    <xf numFmtId="0" fontId="0" fillId="5" borderId="21" pivotButton="0" quotePrefix="0" xfId="0"/>
    <xf numFmtId="0" fontId="0" fillId="6" borderId="8" applyAlignment="1" pivotButton="0" quotePrefix="0" xfId="0">
      <alignment wrapText="1"/>
    </xf>
    <xf numFmtId="0" fontId="0" fillId="6" borderId="11" applyAlignment="1" pivotButton="0" quotePrefix="0" xfId="0">
      <alignment wrapText="1"/>
    </xf>
    <xf numFmtId="0" fontId="0" fillId="6" borderId="17" applyAlignment="1" pivotButton="0" quotePrefix="0" xfId="0">
      <alignment wrapText="1"/>
    </xf>
    <xf numFmtId="0" fontId="0" fillId="6" borderId="20" applyAlignment="1" pivotButton="0" quotePrefix="0" xfId="0">
      <alignment wrapText="1"/>
    </xf>
    <xf numFmtId="0" fontId="0" fillId="5" borderId="9" applyAlignment="1" pivotButton="0" quotePrefix="0" xfId="0">
      <alignment wrapText="1"/>
    </xf>
    <xf numFmtId="0" fontId="0" fillId="5" borderId="12" applyAlignment="1" pivotButton="0" quotePrefix="0" xfId="0">
      <alignment wrapText="1"/>
    </xf>
    <xf numFmtId="0" fontId="0" fillId="5" borderId="18" applyAlignment="1" pivotButton="0" quotePrefix="0" xfId="0">
      <alignment wrapText="1"/>
    </xf>
    <xf numFmtId="0" fontId="0" fillId="5" borderId="21" applyAlignment="1" pivotButton="0" quotePrefix="0" xfId="0">
      <alignment wrapText="1"/>
    </xf>
    <xf numFmtId="0" fontId="6" fillId="3" borderId="0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0" fillId="7" borderId="0" pivotButton="0" quotePrefix="0" xfId="0"/>
    <xf numFmtId="0" fontId="0" fillId="7" borderId="22" pivotButton="0" quotePrefix="0" xfId="0"/>
    <xf numFmtId="0" fontId="0" fillId="7" borderId="23" pivotButton="0" quotePrefix="0" xfId="0"/>
    <xf numFmtId="0" fontId="0" fillId="7" borderId="24" pivotButton="0" quotePrefix="0" xfId="0"/>
    <xf numFmtId="0" fontId="0" fillId="7" borderId="2" pivotButton="0" quotePrefix="0" xfId="0"/>
    <xf numFmtId="0" fontId="0" fillId="7" borderId="25" pivotButton="0" quotePrefix="0" xfId="0"/>
    <xf numFmtId="0" fontId="0" fillId="7" borderId="26" pivotButton="0" quotePrefix="0" xfId="0"/>
    <xf numFmtId="0" fontId="0" fillId="7" borderId="27" pivotButton="0" quotePrefix="0" xfId="0"/>
    <xf numFmtId="0" fontId="2" fillId="7" borderId="22" pivotButton="0" quotePrefix="0" xfId="0"/>
    <xf numFmtId="0" fontId="2" fillId="7" borderId="23" pivotButton="0" quotePrefix="0" xfId="0"/>
    <xf numFmtId="0" fontId="2" fillId="7" borderId="24" pivotButton="0" quotePrefix="0" xfId="0"/>
    <xf numFmtId="0" fontId="2" fillId="7" borderId="25" pivotButton="0" quotePrefix="0" xfId="0"/>
    <xf numFmtId="0" fontId="2" fillId="7" borderId="26" pivotButton="0" quotePrefix="0" xfId="0"/>
    <xf numFmtId="0" fontId="2" fillId="7" borderId="27" pivotButton="0" quotePrefix="0" xfId="0"/>
    <xf numFmtId="164" fontId="0" fillId="7" borderId="23" pivotButton="0" quotePrefix="0" xfId="0"/>
    <xf numFmtId="164" fontId="0" fillId="7" borderId="2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28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31" applyAlignment="1" pivotButton="0" quotePrefix="0" xfId="0">
      <alignment wrapText="1"/>
    </xf>
    <xf numFmtId="0" fontId="0" fillId="0" borderId="32" applyAlignment="1" pivotButton="0" quotePrefix="0" xfId="0">
      <alignment wrapText="1"/>
    </xf>
    <xf numFmtId="0" fontId="0" fillId="0" borderId="33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0" fontId="2" fillId="3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3" applyAlignment="1" pivotButton="0" quotePrefix="0" xfId="0">
      <alignment horizontal="center" wrapText="1"/>
    </xf>
    <xf numFmtId="9" fontId="0" fillId="7" borderId="0" pivotButton="0" quotePrefix="0" xfId="0"/>
    <xf numFmtId="10" fontId="0" fillId="7" borderId="0" pivotButton="0" quotePrefix="0" xfId="0"/>
    <xf numFmtId="9" fontId="0" fillId="7" borderId="2" pivotButton="0" quotePrefix="0" xfId="0"/>
    <xf numFmtId="10" fontId="0" fillId="7" borderId="2" pivotButton="0" quotePrefix="0" xfId="0"/>
    <xf numFmtId="165" fontId="0" fillId="7" borderId="0" pivotButton="0" quotePrefix="0" xfId="0"/>
    <xf numFmtId="165" fontId="0" fillId="7" borderId="2" pivotButton="0" quotePrefix="0" xfId="0"/>
    <xf numFmtId="3" fontId="0" fillId="7" borderId="0" pivotButton="0" quotePrefix="0" xfId="0"/>
    <xf numFmtId="3" fontId="0" fillId="7" borderId="2" pivotButton="0" quotePrefix="0" xfId="0"/>
    <xf numFmtId="10" fontId="0" fillId="7" borderId="0" pivotButton="0" quotePrefix="0" xfId="0"/>
    <xf numFmtId="165" fontId="0" fillId="7" borderId="0" pivotButton="0" quotePrefix="0" xfId="0"/>
    <xf numFmtId="3" fontId="0" fillId="7" borderId="0" pivotButton="0" quotePrefix="0" xfId="0"/>
    <xf numFmtId="164" fontId="0" fillId="0" borderId="0" pivotButton="0" quotePrefix="0" xfId="0"/>
    <xf numFmtId="165" fontId="0" fillId="5" borderId="8" pivotButton="0" quotePrefix="0" xfId="0"/>
    <xf numFmtId="3" fontId="0" fillId="5" borderId="8" pivotButton="0" quotePrefix="0" xfId="0"/>
    <xf numFmtId="10" fontId="0" fillId="5" borderId="8" pivotButton="0" quotePrefix="0" xfId="0"/>
    <xf numFmtId="164" fontId="0" fillId="5" borderId="8" pivotButton="0" quotePrefix="0" xfId="0"/>
    <xf numFmtId="165" fontId="0" fillId="5" borderId="11" pivotButton="0" quotePrefix="0" xfId="0"/>
    <xf numFmtId="3" fontId="0" fillId="5" borderId="11" pivotButton="0" quotePrefix="0" xfId="0"/>
    <xf numFmtId="10" fontId="0" fillId="5" borderId="11" pivotButton="0" quotePrefix="0" xfId="0"/>
    <xf numFmtId="164" fontId="0" fillId="5" borderId="11" pivotButton="0" quotePrefix="0" xfId="0"/>
    <xf numFmtId="164" fontId="0" fillId="7" borderId="23" pivotButton="0" quotePrefix="0" xfId="0"/>
  </cellXfs>
  <cellStyles count="2">
    <cellStyle name="Normal" xfId="0"/>
    <cellStyle name="Percent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ailyUpdateTable" displayName="DailyUpdateTable" ref="A5:L103" headerRowCount="1">
  <tableColumns count="12">
    <tableColumn id="1" name="Ticker"/>
    <tableColumn id="2" name="Security / ETF Name"/>
    <tableColumn id="3" name="Current Price"/>
    <tableColumn id="4" name="Volume"/>
    <tableColumn id="5" name="1 Day Change %"/>
    <tableColumn id="6" name="5 Day Change %"/>
    <tableColumn id="7" name="1 Mos Change %"/>
    <tableColumn id="8" name="1 Year Change %"/>
    <tableColumn id="9" name="2 Year Change %"/>
    <tableColumn id="10" name="5 Year Change %"/>
    <tableColumn id="11" name="Last Updated"/>
    <tableColumn id="12" name="Source / 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2"/>
  <sheetViews>
    <sheetView workbookViewId="0">
      <selection activeCell="A1" sqref="A1"/>
    </sheetView>
  </sheetViews>
  <sheetFormatPr baseColWidth="8" defaultRowHeight="14.5"/>
  <cols>
    <col width="74.26953125" customWidth="1" style="10" min="1" max="1"/>
    <col width="12.7265625" customWidth="1" style="10" min="2" max="2"/>
    <col width="12.7265625" customWidth="1" style="4" min="3" max="3"/>
    <col width="12.7265625" customWidth="1" style="10" min="4" max="5"/>
    <col width="3.81640625" customWidth="1" style="10" min="6" max="6"/>
    <col width="17.1796875" customWidth="1" style="10" min="7" max="13"/>
    <col width="16.81640625" customWidth="1" style="10" min="14" max="14"/>
  </cols>
  <sheetData>
    <row r="1">
      <c r="A1" s="38" t="inlineStr">
        <is>
          <t>ETF DETAILS</t>
        </is>
      </c>
    </row>
    <row r="2">
      <c r="A2" s="12">
        <f>'Daily Update'!B2</f>
        <v/>
      </c>
      <c r="B2" s="184" t="n">
        <v>46162</v>
      </c>
    </row>
    <row r="4" ht="15" customHeight="1" s="10">
      <c r="A4" s="13" t="inlineStr">
        <is>
          <t>ETF</t>
        </is>
      </c>
      <c r="B4" s="14" t="inlineStr">
        <is>
          <t>SYMBOL</t>
        </is>
      </c>
      <c r="C4" s="15" t="inlineStr">
        <is>
          <t>%age</t>
        </is>
      </c>
      <c r="D4" s="14" t="inlineStr">
        <is>
          <t>SYMBOL</t>
        </is>
      </c>
      <c r="E4" s="14" t="inlineStr">
        <is>
          <t>Acct Type</t>
        </is>
      </c>
      <c r="F4" s="16" t="n"/>
      <c r="G4" s="169" t="inlineStr">
        <is>
          <t>Current Price</t>
        </is>
      </c>
      <c r="H4" s="169" t="inlineStr">
        <is>
          <t>Volume</t>
        </is>
      </c>
      <c r="I4" s="169" t="inlineStr">
        <is>
          <t>1 Day Change %</t>
        </is>
      </c>
      <c r="J4" s="169" t="inlineStr">
        <is>
          <t>5 Day Change %</t>
        </is>
      </c>
      <c r="K4" s="169" t="inlineStr">
        <is>
          <t>1 Mos Change %</t>
        </is>
      </c>
      <c r="L4" s="169" t="inlineStr">
        <is>
          <t>1 Year  Change %</t>
        </is>
      </c>
      <c r="M4" s="169" t="inlineStr">
        <is>
          <t>2 Year Change %</t>
        </is>
      </c>
      <c r="N4" s="169" t="inlineStr">
        <is>
          <t>5 Year Change %</t>
        </is>
      </c>
    </row>
    <row r="5" ht="15" customHeight="1" s="10">
      <c r="G5" s="182">
        <f>IF($B5="","",IFERROR(XLOOKUP($B5,'Daily Update'!$A:$A,'Daily Update'!$C:$C),""))</f>
        <v/>
      </c>
      <c r="H5" s="183">
        <f>IF($B5="","",IFERROR(XLOOKUP($B5,'Daily Update'!$A:$A,'Daily Update'!$D:$D),""))</f>
        <v/>
      </c>
      <c r="I5" s="181">
        <f>IF($B5="","",IFERROR(XLOOKUP($B5,'Daily Update'!$A:$A,'Daily Update'!$E:$E),""))</f>
        <v/>
      </c>
      <c r="J5" s="181">
        <f>IF($B5="","",IFERROR(XLOOKUP($B5,'Daily Update'!$A:$A,'Daily Update'!$F:$F),""))</f>
        <v/>
      </c>
      <c r="K5" s="181">
        <f>IF($B5="","",IFERROR(XLOOKUP($B5,'Daily Update'!$A:$A,'Daily Update'!$G:$G),""))</f>
        <v/>
      </c>
      <c r="L5" s="181">
        <f>IF($B5="","",IFERROR(XLOOKUP($B5,'Daily Update'!$A:$A,'Daily Update'!$H:$H),""))</f>
        <v/>
      </c>
      <c r="M5" s="181">
        <f>IF($B5="","",IFERROR(XLOOKUP($B5,'Daily Update'!$A:$A,'Daily Update'!$I:$I),""))</f>
        <v/>
      </c>
      <c r="N5" s="181">
        <f>IF($B5="","",IFERROR(XLOOKUP($B5,'Daily Update'!$A:$A,'Daily Update'!$J:$J),""))</f>
        <v/>
      </c>
    </row>
    <row r="6">
      <c r="A6" s="38" t="inlineStr">
        <is>
          <t>Berkshire Hathaway Inc</t>
        </is>
      </c>
      <c r="B6" s="38" t="inlineStr">
        <is>
          <t>BRKB</t>
        </is>
      </c>
      <c r="C6" s="7" t="n">
        <v>1</v>
      </c>
      <c r="D6" s="38" t="inlineStr">
        <is>
          <t>BRKB</t>
        </is>
      </c>
      <c r="E6" s="38" t="inlineStr">
        <is>
          <t>IRA</t>
        </is>
      </c>
      <c r="F6" s="38" t="n"/>
      <c r="G6" s="182" t="n">
        <v>480.46</v>
      </c>
      <c r="H6" s="183" t="n">
        <v>5574031</v>
      </c>
      <c r="I6" s="181" t="n">
        <v>-0.01621691</v>
      </c>
      <c r="J6" s="181" t="n">
        <v>-0.00927912</v>
      </c>
      <c r="K6" s="181" t="n">
        <v>0.01238991</v>
      </c>
      <c r="L6" s="181" t="n">
        <v>-0.06231586</v>
      </c>
      <c r="M6" s="181" t="n">
        <v>0.15234803</v>
      </c>
      <c r="N6" s="181" t="n">
        <v>0.67565296</v>
      </c>
    </row>
    <row r="7">
      <c r="A7" s="5" t="n"/>
      <c r="G7" s="182">
        <f>IF($B7="","",IFERROR(XLOOKUP($B7,'Daily Update'!$A:$A,'Daily Update'!$C:$C),""))</f>
        <v/>
      </c>
      <c r="H7" s="183">
        <f>IF($B7="","",IFERROR(XLOOKUP($B7,'Daily Update'!$A:$A,'Daily Update'!$D:$D),""))</f>
        <v/>
      </c>
      <c r="I7" s="181">
        <f>IF($B7="","",IFERROR(XLOOKUP($B7,'Daily Update'!$A:$A,'Daily Update'!$E:$E),""))</f>
        <v/>
      </c>
      <c r="J7" s="181">
        <f>IF($B7="","",IFERROR(XLOOKUP($B7,'Daily Update'!$A:$A,'Daily Update'!$F:$F),""))</f>
        <v/>
      </c>
      <c r="K7" s="181">
        <f>IF($B7="","",IFERROR(XLOOKUP($B7,'Daily Update'!$A:$A,'Daily Update'!$G:$G),""))</f>
        <v/>
      </c>
      <c r="L7" s="181">
        <f>IF($B7="","",IFERROR(XLOOKUP($B7,'Daily Update'!$A:$A,'Daily Update'!$H:$H),""))</f>
        <v/>
      </c>
      <c r="M7" s="181">
        <f>IF($B7="","",IFERROR(XLOOKUP($B7,'Daily Update'!$A:$A,'Daily Update'!$I:$I),""))</f>
        <v/>
      </c>
      <c r="N7" s="181">
        <f>IF($B7="","",IFERROR(XLOOKUP($B7,'Daily Update'!$A:$A,'Daily Update'!$J:$J),""))</f>
        <v/>
      </c>
    </row>
    <row r="8">
      <c r="A8" s="38" t="inlineStr">
        <is>
          <t>ISHARES CORE HIGH DIVIDEND ETF</t>
        </is>
      </c>
      <c r="B8" s="38" t="inlineStr">
        <is>
          <t>HDV</t>
        </is>
      </c>
      <c r="C8" s="7">
        <f>SUM(C9:C19)</f>
        <v/>
      </c>
      <c r="D8" s="8" t="inlineStr">
        <is>
          <t>HDV</t>
        </is>
      </c>
      <c r="E8" s="38" t="inlineStr">
        <is>
          <t>IRA</t>
        </is>
      </c>
      <c r="F8" s="38" t="n"/>
      <c r="G8" s="182" t="n">
        <v>27.71</v>
      </c>
      <c r="H8" s="183" t="n">
        <v>2350436</v>
      </c>
      <c r="I8" s="181" t="n">
        <v>0.00471353</v>
      </c>
      <c r="J8" s="181" t="n">
        <v>0.01874994</v>
      </c>
      <c r="K8" s="181" t="n">
        <v>0.03441836</v>
      </c>
      <c r="L8" s="181" t="n">
        <v>0.22412885</v>
      </c>
      <c r="M8" s="181" t="n">
        <v>0.32704547</v>
      </c>
      <c r="N8" s="181" t="n">
        <v>0.68172165</v>
      </c>
    </row>
    <row r="9">
      <c r="A9" t="inlineStr">
        <is>
          <t xml:space="preserve">Merck &amp; Co Inc </t>
        </is>
      </c>
      <c r="B9" t="inlineStr">
        <is>
          <t>MRK</t>
        </is>
      </c>
      <c r="C9" s="4" t="n">
        <v>0.0377</v>
      </c>
      <c r="D9" s="2" t="inlineStr">
        <is>
          <t>HDV</t>
        </is>
      </c>
      <c r="E9" t="inlineStr">
        <is>
          <t>IRA</t>
        </is>
      </c>
      <c r="G9" s="182" t="n">
        <v>114.24</v>
      </c>
      <c r="H9" s="183" t="n">
        <v>5209075</v>
      </c>
      <c r="I9" s="181" t="n">
        <v>0.01492538</v>
      </c>
      <c r="J9" s="181" t="n">
        <v>0.01664141</v>
      </c>
      <c r="K9" s="181" t="n">
        <v>-0.04056439</v>
      </c>
      <c r="L9" s="181" t="n">
        <v>0.53295277</v>
      </c>
      <c r="M9" s="181" t="n">
        <v>-0.07082237</v>
      </c>
      <c r="N9" s="181" t="n">
        <v>0.7590783</v>
      </c>
    </row>
    <row r="10">
      <c r="A10" t="inlineStr">
        <is>
          <t xml:space="preserve">Progressive Corp </t>
        </is>
      </c>
      <c r="B10" t="inlineStr">
        <is>
          <t>PGR</t>
        </is>
      </c>
      <c r="C10" s="4" t="n">
        <v>0.0379</v>
      </c>
      <c r="D10" s="2" t="inlineStr">
        <is>
          <t>HDV</t>
        </is>
      </c>
      <c r="E10" t="inlineStr">
        <is>
          <t>IRA</t>
        </is>
      </c>
      <c r="G10" s="182" t="n">
        <v>202.87</v>
      </c>
      <c r="H10" s="183" t="n">
        <v>2457538</v>
      </c>
      <c r="I10" s="181" t="n">
        <v>-0.00553924</v>
      </c>
      <c r="J10" s="181" t="n">
        <v>0.02242716</v>
      </c>
      <c r="K10" s="181" t="n">
        <v>0.0014315</v>
      </c>
      <c r="L10" s="181" t="n">
        <v>-0.25049085</v>
      </c>
      <c r="M10" s="181" t="n">
        <v>0.05375258</v>
      </c>
      <c r="N10" s="181" t="n">
        <v>1.22353902</v>
      </c>
    </row>
    <row r="11">
      <c r="A11" t="inlineStr">
        <is>
          <t xml:space="preserve">Coca-Cola Co </t>
        </is>
      </c>
      <c r="B11" t="inlineStr">
        <is>
          <t>KO</t>
        </is>
      </c>
      <c r="C11" s="4" t="n">
        <v>0.0386</v>
      </c>
      <c r="D11" s="2" t="inlineStr">
        <is>
          <t>HDV</t>
        </is>
      </c>
      <c r="E11" t="inlineStr">
        <is>
          <t>IRA</t>
        </is>
      </c>
      <c r="G11" s="182" t="n">
        <v>81.92</v>
      </c>
      <c r="H11" s="183" t="n">
        <v>16586904</v>
      </c>
      <c r="I11" s="181" t="n">
        <v>0.00886701</v>
      </c>
      <c r="J11" s="181" t="n">
        <v>0.02361614</v>
      </c>
      <c r="K11" s="181" t="n">
        <v>0.08159494</v>
      </c>
      <c r="L11" s="181" t="n">
        <v>0.17189977</v>
      </c>
      <c r="M11" s="181" t="n">
        <v>0.37737433</v>
      </c>
      <c r="N11" s="181" t="n">
        <v>0.73980952</v>
      </c>
    </row>
    <row r="12">
      <c r="A12" t="inlineStr">
        <is>
          <t xml:space="preserve">The Home Depot Inc </t>
        </is>
      </c>
      <c r="B12" t="inlineStr">
        <is>
          <t>HD</t>
        </is>
      </c>
      <c r="C12" s="4" t="n">
        <v>0.0407</v>
      </c>
      <c r="D12" s="2" t="inlineStr">
        <is>
          <t>HDV</t>
        </is>
      </c>
      <c r="E12" t="inlineStr">
        <is>
          <t>IRA</t>
        </is>
      </c>
      <c r="G12" s="182" t="n">
        <v>302.44</v>
      </c>
      <c r="H12" s="183" t="n">
        <v>8678246</v>
      </c>
      <c r="I12" s="181" t="n">
        <v>0.008772240000000001</v>
      </c>
      <c r="J12" s="181" t="n">
        <v>-0.0258326</v>
      </c>
      <c r="K12" s="181" t="n">
        <v>-0.13440181</v>
      </c>
      <c r="L12" s="181" t="n">
        <v>-0.18265378</v>
      </c>
      <c r="M12" s="181" t="n">
        <v>-0.07674027</v>
      </c>
      <c r="N12" s="181" t="n">
        <v>0.08184457000000001</v>
      </c>
    </row>
    <row r="13">
      <c r="A13" t="inlineStr">
        <is>
          <t xml:space="preserve">Philip Morris International Inc </t>
        </is>
      </c>
      <c r="B13" t="inlineStr">
        <is>
          <t>PM</t>
        </is>
      </c>
      <c r="C13" s="4" t="n">
        <v>0.0417</v>
      </c>
      <c r="D13" s="2" t="inlineStr">
        <is>
          <t>HDV</t>
        </is>
      </c>
      <c r="E13" t="inlineStr">
        <is>
          <t>IRA</t>
        </is>
      </c>
      <c r="G13" s="182" t="n">
        <v>191.57</v>
      </c>
      <c r="H13" s="183" t="n">
        <v>3749166</v>
      </c>
      <c r="I13" s="181" t="n">
        <v>0.00036557</v>
      </c>
      <c r="J13" s="181" t="n">
        <v>0.02482221</v>
      </c>
      <c r="K13" s="181" t="n">
        <v>0.21408211</v>
      </c>
      <c r="L13" s="181" t="n">
        <v>0.14545238</v>
      </c>
      <c r="M13" s="181" t="n">
        <v>1.07616454</v>
      </c>
      <c r="N13" s="181" t="n">
        <v>1.49351672</v>
      </c>
    </row>
    <row r="14">
      <c r="A14" t="inlineStr">
        <is>
          <t xml:space="preserve">Procter &amp; Gamble Co </t>
        </is>
      </c>
      <c r="B14" t="inlineStr">
        <is>
          <t>PG</t>
        </is>
      </c>
      <c r="C14" s="4" t="n">
        <v>0.0446</v>
      </c>
      <c r="D14" s="2" t="inlineStr">
        <is>
          <t>HDV</t>
        </is>
      </c>
      <c r="E14" t="inlineStr">
        <is>
          <t>IRA</t>
        </is>
      </c>
      <c r="G14" s="182" t="n">
        <v>141.3</v>
      </c>
      <c r="H14" s="183" t="n">
        <v>4715632</v>
      </c>
      <c r="I14" s="181" t="n">
        <v>-0.00765501</v>
      </c>
      <c r="J14" s="181" t="n">
        <v>-0.01813634</v>
      </c>
      <c r="K14" s="181" t="n">
        <v>-0.03107603</v>
      </c>
      <c r="L14" s="181" t="n">
        <v>-0.11777187</v>
      </c>
      <c r="M14" s="181" t="n">
        <v>-0.11167802</v>
      </c>
      <c r="N14" s="181" t="n">
        <v>0.16290085</v>
      </c>
    </row>
    <row r="15">
      <c r="A15" t="inlineStr">
        <is>
          <t xml:space="preserve">AbbVie Inc </t>
        </is>
      </c>
      <c r="B15" t="inlineStr">
        <is>
          <t>ABBV</t>
        </is>
      </c>
      <c r="C15" s="4" t="n">
        <v>0.0544</v>
      </c>
      <c r="D15" s="2" t="inlineStr">
        <is>
          <t>HDV</t>
        </is>
      </c>
      <c r="E15" t="inlineStr">
        <is>
          <t>IRA</t>
        </is>
      </c>
      <c r="G15" s="182" t="n">
        <v>213.76</v>
      </c>
      <c r="H15" s="183" t="n">
        <v>4460380</v>
      </c>
      <c r="I15" s="181" t="n">
        <v>0.0207726</v>
      </c>
      <c r="J15" s="181" t="n">
        <v>0.02838446</v>
      </c>
      <c r="K15" s="181" t="n">
        <v>0.02581817</v>
      </c>
      <c r="L15" s="181" t="n">
        <v>0.1885406</v>
      </c>
      <c r="M15" s="181" t="n">
        <v>0.37448755</v>
      </c>
      <c r="N15" s="181" t="n">
        <v>1.20174021</v>
      </c>
    </row>
    <row r="16">
      <c r="A16" t="inlineStr">
        <is>
          <t xml:space="preserve">Johnson &amp; Johnson </t>
        </is>
      </c>
      <c r="B16" t="inlineStr">
        <is>
          <t>JNJ</t>
        </is>
      </c>
      <c r="C16" s="4" t="n">
        <v>0.0568</v>
      </c>
      <c r="D16" s="2" t="inlineStr">
        <is>
          <t>HDV</t>
        </is>
      </c>
      <c r="E16" t="inlineStr">
        <is>
          <t>IRA</t>
        </is>
      </c>
      <c r="G16" s="182" t="n">
        <v>230</v>
      </c>
      <c r="H16" s="183" t="n">
        <v>6002888</v>
      </c>
      <c r="I16" s="181" t="n">
        <v>0.00471781</v>
      </c>
      <c r="J16" s="181" t="n">
        <v>0.02559532</v>
      </c>
      <c r="K16" s="181" t="n">
        <v>-0.01784949</v>
      </c>
      <c r="L16" s="181" t="n">
        <v>0.5503196</v>
      </c>
      <c r="M16" s="181" t="n">
        <v>0.57780938</v>
      </c>
      <c r="N16" s="181" t="n">
        <v>0.54825663</v>
      </c>
    </row>
    <row r="17">
      <c r="A17" t="inlineStr">
        <is>
          <t xml:space="preserve">Chevron Corp </t>
        </is>
      </c>
      <c r="B17" t="inlineStr">
        <is>
          <t>CVX</t>
        </is>
      </c>
      <c r="C17" s="4" t="n">
        <v>0.06419999999999999</v>
      </c>
      <c r="D17" s="2" t="inlineStr">
        <is>
          <t>HDV</t>
        </is>
      </c>
      <c r="E17" t="inlineStr">
        <is>
          <t>IRA</t>
        </is>
      </c>
      <c r="G17" s="182" t="n">
        <v>197.25</v>
      </c>
      <c r="H17" s="183" t="n">
        <v>11811800</v>
      </c>
      <c r="I17" s="181" t="n">
        <v>0.0057618</v>
      </c>
      <c r="J17" s="181" t="n">
        <v>0.06076904</v>
      </c>
      <c r="K17" s="181" t="n">
        <v>0.0720691</v>
      </c>
      <c r="L17" s="181" t="n">
        <v>0.47047527</v>
      </c>
      <c r="M17" s="181" t="n">
        <v>0.30875537</v>
      </c>
      <c r="N17" s="181" t="n">
        <v>1.31719993</v>
      </c>
    </row>
    <row r="18">
      <c r="A18" t="inlineStr">
        <is>
          <t xml:space="preserve">Exxon Mobil Corp </t>
        </is>
      </c>
      <c r="B18" t="inlineStr">
        <is>
          <t>XOM</t>
        </is>
      </c>
      <c r="C18" s="4" t="n">
        <v>0.0842</v>
      </c>
      <c r="D18" s="2" t="inlineStr">
        <is>
          <t>HDV</t>
        </is>
      </c>
      <c r="E18" t="inlineStr">
        <is>
          <t>IRA</t>
        </is>
      </c>
      <c r="G18" s="182" t="n">
        <v>162.55</v>
      </c>
      <c r="H18" s="183" t="n">
        <v>20706800</v>
      </c>
      <c r="I18" s="181" t="n">
        <v>0.01283568</v>
      </c>
      <c r="J18" s="181" t="n">
        <v>0.08645886999999999</v>
      </c>
      <c r="K18" s="181" t="n">
        <v>0.11754512</v>
      </c>
      <c r="L18" s="181" t="n">
        <v>0.57538721</v>
      </c>
      <c r="M18" s="181" t="n">
        <v>0.45085385</v>
      </c>
      <c r="N18" s="181" t="n">
        <v>2.32013544</v>
      </c>
    </row>
    <row r="19">
      <c r="A19" t="inlineStr">
        <is>
          <t>Other</t>
        </is>
      </c>
      <c r="B19" t="inlineStr">
        <is>
          <t>OTH</t>
        </is>
      </c>
      <c r="C19" s="4">
        <f>100%-(SUM(C9:C18))</f>
        <v/>
      </c>
      <c r="D19" s="2" t="inlineStr">
        <is>
          <t>HDV</t>
        </is>
      </c>
      <c r="E19" t="inlineStr">
        <is>
          <t>IRA</t>
        </is>
      </c>
      <c r="G19" s="182">
        <f>IF($B19="","",IFERROR(XLOOKUP($B19,'Daily Update'!$A:$A,'Daily Update'!$C:$C),""))</f>
        <v/>
      </c>
      <c r="H19" s="183">
        <f>IF($B19="","",IFERROR(XLOOKUP($B19,'Daily Update'!$A:$A,'Daily Update'!$D:$D),""))</f>
        <v/>
      </c>
      <c r="I19" s="181">
        <f>IF($B19="","",IFERROR(XLOOKUP($B19,'Daily Update'!$A:$A,'Daily Update'!$E:$E),""))</f>
        <v/>
      </c>
      <c r="J19" s="181">
        <f>IF($B19="","",IFERROR(XLOOKUP($B19,'Daily Update'!$A:$A,'Daily Update'!$F:$F),""))</f>
        <v/>
      </c>
      <c r="K19" s="181">
        <f>IF($B19="","",IFERROR(XLOOKUP($B19,'Daily Update'!$A:$A,'Daily Update'!$G:$G),""))</f>
        <v/>
      </c>
      <c r="L19" s="181">
        <f>IF($B19="","",IFERROR(XLOOKUP($B19,'Daily Update'!$A:$A,'Daily Update'!$H:$H),""))</f>
        <v/>
      </c>
      <c r="M19" s="181">
        <f>IF($B19="","",IFERROR(XLOOKUP($B19,'Daily Update'!$A:$A,'Daily Update'!$I:$I),""))</f>
        <v/>
      </c>
      <c r="N19" s="181">
        <f>IF($B19="","",IFERROR(XLOOKUP($B19,'Daily Update'!$A:$A,'Daily Update'!$J:$J),""))</f>
        <v/>
      </c>
    </row>
    <row r="20">
      <c r="G20" s="182">
        <f>IF($B20="","",IFERROR(XLOOKUP($B20,'Daily Update'!$A:$A,'Daily Update'!$C:$C),""))</f>
        <v/>
      </c>
      <c r="H20" s="183">
        <f>IF($B20="","",IFERROR(XLOOKUP($B20,'Daily Update'!$A:$A,'Daily Update'!$D:$D),""))</f>
        <v/>
      </c>
      <c r="I20" s="181">
        <f>IF($B20="","",IFERROR(XLOOKUP($B20,'Daily Update'!$A:$A,'Daily Update'!$E:$E),""))</f>
        <v/>
      </c>
      <c r="J20" s="181">
        <f>IF($B20="","",IFERROR(XLOOKUP($B20,'Daily Update'!$A:$A,'Daily Update'!$F:$F),""))</f>
        <v/>
      </c>
      <c r="K20" s="181">
        <f>IF($B20="","",IFERROR(XLOOKUP($B20,'Daily Update'!$A:$A,'Daily Update'!$G:$G),""))</f>
        <v/>
      </c>
      <c r="L20" s="181">
        <f>IF($B20="","",IFERROR(XLOOKUP($B20,'Daily Update'!$A:$A,'Daily Update'!$H:$H),""))</f>
        <v/>
      </c>
      <c r="M20" s="181">
        <f>IF($B20="","",IFERROR(XLOOKUP($B20,'Daily Update'!$A:$A,'Daily Update'!$I:$I),""))</f>
        <v/>
      </c>
      <c r="N20" s="181">
        <f>IF($B20="","",IFERROR(XLOOKUP($B20,'Daily Update'!$A:$A,'Daily Update'!$J:$J),""))</f>
        <v/>
      </c>
    </row>
    <row r="21">
      <c r="A21" s="38" t="inlineStr">
        <is>
          <t>WEDBUSH SERIES TRUST DAN IVES WEDBUSH AI REVOLUTION ETF</t>
        </is>
      </c>
      <c r="B21" s="8" t="inlineStr">
        <is>
          <t>IVES</t>
        </is>
      </c>
      <c r="C21" s="7">
        <f>SUM(C22:C32)</f>
        <v/>
      </c>
      <c r="D21" s="8" t="inlineStr">
        <is>
          <t>IVES</t>
        </is>
      </c>
      <c r="E21" s="38" t="inlineStr">
        <is>
          <t>IRA</t>
        </is>
      </c>
      <c r="F21" s="38" t="n"/>
      <c r="G21" s="182" t="n">
        <v>35.76</v>
      </c>
      <c r="H21" s="183" t="n">
        <v>399100</v>
      </c>
      <c r="I21" s="181" t="n">
        <v>-0.01024087</v>
      </c>
      <c r="J21" s="181" t="n">
        <v>-0.00556176</v>
      </c>
      <c r="K21" s="181" t="n">
        <v>0.09290944</v>
      </c>
      <c r="L21" s="181" t="n"/>
      <c r="M21" s="181" t="n"/>
      <c r="N21" s="181" t="n"/>
    </row>
    <row r="22">
      <c r="A22" t="inlineStr">
        <is>
          <t xml:space="preserve">GE Vernova Inc </t>
        </is>
      </c>
      <c r="B22" t="inlineStr">
        <is>
          <t>GEV</t>
        </is>
      </c>
      <c r="C22" s="4" t="n">
        <v>0.0424</v>
      </c>
      <c r="D22" s="2" t="inlineStr">
        <is>
          <t>IVES</t>
        </is>
      </c>
      <c r="E22" t="inlineStr">
        <is>
          <t>IRA</t>
        </is>
      </c>
      <c r="G22" s="182" t="n">
        <v>1011.8</v>
      </c>
      <c r="H22" s="183" t="n">
        <v>2243200</v>
      </c>
      <c r="I22" s="181" t="n">
        <v>-0.00044457</v>
      </c>
      <c r="J22" s="181" t="n">
        <v>-0.0561391</v>
      </c>
      <c r="K22" s="181" t="n">
        <v>0.009025170000000001</v>
      </c>
      <c r="L22" s="181" t="n">
        <v>1.27053477</v>
      </c>
      <c r="M22" s="181" t="n">
        <v>5.24496837</v>
      </c>
      <c r="N22" s="181" t="n"/>
    </row>
    <row r="23">
      <c r="A23" t="inlineStr">
        <is>
          <t xml:space="preserve">Microsoft Corp </t>
        </is>
      </c>
      <c r="B23" t="inlineStr">
        <is>
          <t>MSFT</t>
        </is>
      </c>
      <c r="C23" s="4" t="n">
        <v>0.0444</v>
      </c>
      <c r="D23" s="2" t="inlineStr">
        <is>
          <t>IVES</t>
        </is>
      </c>
      <c r="E23" t="inlineStr">
        <is>
          <t>IRA</t>
        </is>
      </c>
      <c r="G23" s="182" t="n">
        <v>417.42</v>
      </c>
      <c r="H23" s="183" t="n">
        <v>32942800</v>
      </c>
      <c r="I23" s="181" t="n">
        <v>-0.01444963</v>
      </c>
      <c r="J23" s="181" t="n">
        <v>0.02366536</v>
      </c>
      <c r="K23" s="181" t="n">
        <v>-0.01270133</v>
      </c>
      <c r="L23" s="181" t="n">
        <v>-0.08504617</v>
      </c>
      <c r="M23" s="181" t="n">
        <v>0.00679123</v>
      </c>
      <c r="N23" s="181" t="n">
        <v>0.76083236</v>
      </c>
    </row>
    <row r="24">
      <c r="A24" t="inlineStr">
        <is>
          <t xml:space="preserve">Micron Technology Inc </t>
        </is>
      </c>
      <c r="B24" t="inlineStr">
        <is>
          <t>MU</t>
        </is>
      </c>
      <c r="C24" s="4" t="n">
        <v>0.0466</v>
      </c>
      <c r="D24" s="2" t="inlineStr">
        <is>
          <t>IVES</t>
        </is>
      </c>
      <c r="E24" t="inlineStr">
        <is>
          <t>IRA</t>
        </is>
      </c>
      <c r="G24" s="182" t="n">
        <v>698.74</v>
      </c>
      <c r="H24" s="183" t="n">
        <v>61450300</v>
      </c>
      <c r="I24" s="181" t="n">
        <v>0.02523698</v>
      </c>
      <c r="J24" s="181" t="n">
        <v>-0.08849699</v>
      </c>
      <c r="K24" s="181" t="n">
        <v>0.53545604</v>
      </c>
      <c r="L24" s="181" t="n">
        <v>6.09997452</v>
      </c>
      <c r="M24" s="181" t="n">
        <v>4.6161004</v>
      </c>
      <c r="N24" s="181" t="n">
        <v>7.83083375</v>
      </c>
    </row>
    <row r="25">
      <c r="A25" t="inlineStr">
        <is>
          <t xml:space="preserve">Apple Inc </t>
        </is>
      </c>
      <c r="B25" t="inlineStr">
        <is>
          <t>AAPL</t>
        </is>
      </c>
      <c r="C25" s="4" t="n">
        <v>0.0471</v>
      </c>
      <c r="D25" s="2" t="inlineStr">
        <is>
          <t>IVES</t>
        </is>
      </c>
      <c r="E25" t="inlineStr">
        <is>
          <t>IRA</t>
        </is>
      </c>
      <c r="G25" s="182" t="n">
        <v>298.97</v>
      </c>
      <c r="H25" s="183" t="n">
        <v>42199700</v>
      </c>
      <c r="I25" s="181" t="n">
        <v>0.003794</v>
      </c>
      <c r="J25" s="181" t="n">
        <v>0.01414523</v>
      </c>
      <c r="K25" s="181" t="n">
        <v>0.10737315</v>
      </c>
      <c r="L25" s="181" t="n">
        <v>0.43766669</v>
      </c>
      <c r="M25" s="181" t="n">
        <v>0.5882436599999999</v>
      </c>
      <c r="N25" s="181" t="n">
        <v>1.40918958</v>
      </c>
    </row>
    <row r="26">
      <c r="A26" t="inlineStr">
        <is>
          <t xml:space="preserve">NVIDIA Corp </t>
        </is>
      </c>
      <c r="B26" t="inlineStr">
        <is>
          <t>NVDA</t>
        </is>
      </c>
      <c r="C26" s="4" t="n">
        <v>0.0484</v>
      </c>
      <c r="D26" s="2" t="inlineStr">
        <is>
          <t>IVES</t>
        </is>
      </c>
      <c r="E26" t="inlineStr">
        <is>
          <t>IRA</t>
        </is>
      </c>
      <c r="G26" s="182" t="n">
        <v>220.61</v>
      </c>
      <c r="H26" s="183" t="n">
        <v>140201600</v>
      </c>
      <c r="I26" s="181" t="n">
        <v>-0.00769165</v>
      </c>
      <c r="J26" s="181" t="n">
        <v>-0.00076999</v>
      </c>
      <c r="K26" s="181" t="n">
        <v>0.09386161</v>
      </c>
      <c r="L26" s="181" t="n">
        <v>0.62766095</v>
      </c>
      <c r="M26" s="181" t="n">
        <v>1.38686075</v>
      </c>
      <c r="N26" s="181" t="n">
        <v>14.1353981</v>
      </c>
    </row>
    <row r="27">
      <c r="A27" t="inlineStr">
        <is>
          <t xml:space="preserve">Taiwan Semiconductor Manufacturing Co Ltd ADR </t>
        </is>
      </c>
      <c r="B27" t="inlineStr">
        <is>
          <t>TSM</t>
        </is>
      </c>
      <c r="C27" s="4" t="n">
        <v>0.0494</v>
      </c>
      <c r="D27" s="2" t="inlineStr">
        <is>
          <t>IVES</t>
        </is>
      </c>
      <c r="E27" t="inlineStr">
        <is>
          <t>IRA</t>
        </is>
      </c>
      <c r="G27" s="182" t="n">
        <v>392.61</v>
      </c>
      <c r="H27" s="183" t="n">
        <v>14054400</v>
      </c>
      <c r="I27" s="181" t="n">
        <v>-0.00843548</v>
      </c>
      <c r="J27" s="181" t="n">
        <v>-0.01175497</v>
      </c>
      <c r="K27" s="181" t="n">
        <v>0.05967607</v>
      </c>
      <c r="L27" s="181" t="n">
        <v>1.05412214</v>
      </c>
      <c r="M27" s="181" t="n">
        <v>1.65712899</v>
      </c>
      <c r="N27" s="181" t="n">
        <v>2.76546543</v>
      </c>
    </row>
    <row r="28">
      <c r="A28" t="inlineStr">
        <is>
          <t xml:space="preserve">Alphabet Inc Class A </t>
        </is>
      </c>
      <c r="B28" t="inlineStr">
        <is>
          <t>GOOGL</t>
        </is>
      </c>
      <c r="C28" s="4" t="n">
        <v>0.0538</v>
      </c>
      <c r="D28" s="2" t="inlineStr">
        <is>
          <t>IVES</t>
        </is>
      </c>
      <c r="E28" t="inlineStr">
        <is>
          <t>IRA</t>
        </is>
      </c>
      <c r="G28" s="182" t="n">
        <v>387.66</v>
      </c>
      <c r="H28" s="183" t="n">
        <v>39458400</v>
      </c>
      <c r="I28" s="181" t="n">
        <v>-0.02337884</v>
      </c>
      <c r="J28" s="181" t="n">
        <v>0.0008003</v>
      </c>
      <c r="K28" s="181" t="n">
        <v>0.13457039</v>
      </c>
      <c r="L28" s="181" t="n">
        <v>1.33580064</v>
      </c>
      <c r="M28" s="181" t="n">
        <v>1.22006163</v>
      </c>
      <c r="N28" s="181" t="n">
        <v>2.38857827</v>
      </c>
    </row>
    <row r="29">
      <c r="A29" t="inlineStr">
        <is>
          <t xml:space="preserve">Amazon.com Inc </t>
        </is>
      </c>
      <c r="B29" t="inlineStr">
        <is>
          <t>AMZN</t>
        </is>
      </c>
      <c r="C29" s="4" t="n">
        <v>0.0542</v>
      </c>
      <c r="D29" s="2" t="inlineStr">
        <is>
          <t>IVES</t>
        </is>
      </c>
      <c r="E29" t="inlineStr">
        <is>
          <t>IRA</t>
        </is>
      </c>
      <c r="G29" s="182" t="n">
        <v>259.34</v>
      </c>
      <c r="H29" s="183" t="n">
        <v>40269100</v>
      </c>
      <c r="I29" s="181" t="n">
        <v>-0.02084116</v>
      </c>
      <c r="J29" s="181" t="n">
        <v>-0.02437744</v>
      </c>
      <c r="K29" s="181" t="n">
        <v>0.0350415</v>
      </c>
      <c r="L29" s="181" t="n">
        <v>0.25795495</v>
      </c>
      <c r="M29" s="181" t="n">
        <v>0.40411478</v>
      </c>
      <c r="N29" s="181" t="n">
        <v>0.59707848</v>
      </c>
    </row>
    <row r="30">
      <c r="A30" t="inlineStr">
        <is>
          <t xml:space="preserve">Broadcom Inc </t>
        </is>
      </c>
      <c r="B30" t="inlineStr">
        <is>
          <t>AVGO</t>
        </is>
      </c>
      <c r="C30" s="4" t="n">
        <v>0.0544</v>
      </c>
      <c r="D30" s="2" t="inlineStr">
        <is>
          <t>IVES</t>
        </is>
      </c>
      <c r="E30" t="inlineStr">
        <is>
          <t>IRA</t>
        </is>
      </c>
      <c r="G30" s="182" t="n">
        <v>411.07</v>
      </c>
      <c r="H30" s="183" t="n">
        <v>20620900</v>
      </c>
      <c r="I30" s="181" t="n">
        <v>-0.02291361</v>
      </c>
      <c r="J30" s="181" t="n">
        <v>-0.01962791</v>
      </c>
      <c r="K30" s="181" t="n">
        <v>0.01114281</v>
      </c>
      <c r="L30" s="181" t="n">
        <v>0.7968204800000001</v>
      </c>
      <c r="M30" s="181" t="n">
        <v>2.00630568</v>
      </c>
      <c r="N30" s="181" t="n">
        <v>8.985732649999999</v>
      </c>
    </row>
    <row r="31">
      <c r="A31" t="inlineStr">
        <is>
          <t xml:space="preserve">Advanced Micro Devices Inc </t>
        </is>
      </c>
      <c r="B31" t="inlineStr">
        <is>
          <t>AMD</t>
        </is>
      </c>
      <c r="C31" s="4" t="n">
        <v>0.0633</v>
      </c>
      <c r="D31" s="2" t="inlineStr">
        <is>
          <t>IVES</t>
        </is>
      </c>
      <c r="E31" t="inlineStr">
        <is>
          <t>IRA</t>
        </is>
      </c>
      <c r="G31" s="182" t="n">
        <v>414.05</v>
      </c>
      <c r="H31" s="183" t="n">
        <v>38637700</v>
      </c>
      <c r="I31" s="181" t="n">
        <v>-0.01648496</v>
      </c>
      <c r="J31" s="181" t="n">
        <v>-0.07637917</v>
      </c>
      <c r="K31" s="181" t="n">
        <v>0.48730186</v>
      </c>
      <c r="L31" s="181" t="n">
        <v>2.6085933</v>
      </c>
      <c r="M31" s="181" t="n">
        <v>1.5174803</v>
      </c>
      <c r="N31" s="181" t="n">
        <v>4.30425315</v>
      </c>
    </row>
    <row r="32">
      <c r="A32" t="inlineStr">
        <is>
          <t>Other</t>
        </is>
      </c>
      <c r="B32" t="inlineStr">
        <is>
          <t>OTH</t>
        </is>
      </c>
      <c r="C32" s="4">
        <f>100%-(SUM(C22:C31))</f>
        <v/>
      </c>
      <c r="D32" s="2" t="inlineStr">
        <is>
          <t>IVES</t>
        </is>
      </c>
      <c r="E32" t="inlineStr">
        <is>
          <t>IRA</t>
        </is>
      </c>
      <c r="G32" s="182">
        <f>IF($B32="","",IFERROR(XLOOKUP($B32,'Daily Update'!$A:$A,'Daily Update'!$C:$C),""))</f>
        <v/>
      </c>
      <c r="H32" s="183">
        <f>IF($B32="","",IFERROR(XLOOKUP($B32,'Daily Update'!$A:$A,'Daily Update'!$D:$D),""))</f>
        <v/>
      </c>
      <c r="I32" s="181">
        <f>IF($B32="","",IFERROR(XLOOKUP($B32,'Daily Update'!$A:$A,'Daily Update'!$E:$E),""))</f>
        <v/>
      </c>
      <c r="J32" s="181">
        <f>IF($B32="","",IFERROR(XLOOKUP($B32,'Daily Update'!$A:$A,'Daily Update'!$F:$F),""))</f>
        <v/>
      </c>
      <c r="K32" s="181">
        <f>IF($B32="","",IFERROR(XLOOKUP($B32,'Daily Update'!$A:$A,'Daily Update'!$G:$G),""))</f>
        <v/>
      </c>
      <c r="L32" s="181">
        <f>IF($B32="","",IFERROR(XLOOKUP($B32,'Daily Update'!$A:$A,'Daily Update'!$H:$H),""))</f>
        <v/>
      </c>
      <c r="M32" s="181">
        <f>IF($B32="","",IFERROR(XLOOKUP($B32,'Daily Update'!$A:$A,'Daily Update'!$I:$I),""))</f>
        <v/>
      </c>
      <c r="N32" s="181">
        <f>IF($B32="","",IFERROR(XLOOKUP($B32,'Daily Update'!$A:$A,'Daily Update'!$J:$J),""))</f>
        <v/>
      </c>
    </row>
    <row r="33">
      <c r="G33" s="182">
        <f>IF($B33="","",IFERROR(XLOOKUP($B33,'Daily Update'!$A:$A,'Daily Update'!$C:$C),""))</f>
        <v/>
      </c>
      <c r="H33" s="183">
        <f>IF($B33="","",IFERROR(XLOOKUP($B33,'Daily Update'!$A:$A,'Daily Update'!$D:$D),""))</f>
        <v/>
      </c>
      <c r="I33" s="181">
        <f>IF($B33="","",IFERROR(XLOOKUP($B33,'Daily Update'!$A:$A,'Daily Update'!$E:$E),""))</f>
        <v/>
      </c>
      <c r="J33" s="181">
        <f>IF($B33="","",IFERROR(XLOOKUP($B33,'Daily Update'!$A:$A,'Daily Update'!$F:$F),""))</f>
        <v/>
      </c>
      <c r="K33" s="181">
        <f>IF($B33="","",IFERROR(XLOOKUP($B33,'Daily Update'!$A:$A,'Daily Update'!$G:$G),""))</f>
        <v/>
      </c>
      <c r="L33" s="181">
        <f>IF($B33="","",IFERROR(XLOOKUP($B33,'Daily Update'!$A:$A,'Daily Update'!$H:$H),""))</f>
        <v/>
      </c>
      <c r="M33" s="181">
        <f>IF($B33="","",IFERROR(XLOOKUP($B33,'Daily Update'!$A:$A,'Daily Update'!$I:$I),""))</f>
        <v/>
      </c>
      <c r="N33" s="181">
        <f>IF($B33="","",IFERROR(XLOOKUP($B33,'Daily Update'!$A:$A,'Daily Update'!$J:$J),""))</f>
        <v/>
      </c>
    </row>
    <row r="34">
      <c r="A34" s="38" t="inlineStr">
        <is>
          <t>NEOS ETF TR NEOS RUSSELL 2000 HIGH INCOME ETF</t>
        </is>
      </c>
      <c r="B34" s="8" t="inlineStr">
        <is>
          <t>IWMI</t>
        </is>
      </c>
      <c r="C34" s="7">
        <f>SUM(C35:C36)</f>
        <v/>
      </c>
      <c r="D34" s="8" t="inlineStr">
        <is>
          <t>IWMI</t>
        </is>
      </c>
      <c r="E34" s="38" t="inlineStr">
        <is>
          <t>IRA</t>
        </is>
      </c>
      <c r="F34" s="38" t="n"/>
      <c r="G34" s="182" t="n">
        <v>50.4</v>
      </c>
      <c r="H34" s="183" t="n">
        <v>338400</v>
      </c>
      <c r="I34" s="181" t="n">
        <v>-0.00923919</v>
      </c>
      <c r="J34" s="181" t="n">
        <v>-0.02740251</v>
      </c>
      <c r="K34" s="181" t="n">
        <v>-0.00467414</v>
      </c>
      <c r="L34" s="181" t="n">
        <v>0.29223417</v>
      </c>
      <c r="M34" s="181" t="n"/>
      <c r="N34" s="181" t="n"/>
    </row>
    <row r="35">
      <c r="A35" t="inlineStr">
        <is>
          <t xml:space="preserve">First American Treasury Obligs X </t>
        </is>
      </c>
      <c r="B35" t="inlineStr">
        <is>
          <t>FXFXX</t>
        </is>
      </c>
      <c r="C35" s="4" t="n">
        <v>0.004492527734482442</v>
      </c>
      <c r="D35" s="2" t="inlineStr">
        <is>
          <t>IWMI</t>
        </is>
      </c>
      <c r="E35" t="inlineStr">
        <is>
          <t>IRA</t>
        </is>
      </c>
      <c r="G35" s="182" t="n">
        <v>1</v>
      </c>
      <c r="H35" s="183" t="n"/>
      <c r="I35" s="181" t="n"/>
      <c r="J35" s="181" t="n"/>
      <c r="K35" s="181" t="n"/>
      <c r="L35" s="181" t="n"/>
      <c r="M35" s="181" t="n"/>
      <c r="N35" s="181" t="n"/>
    </row>
    <row r="36">
      <c r="A36" t="inlineStr">
        <is>
          <t xml:space="preserve">Vanguard Russell 2000 ETF </t>
        </is>
      </c>
      <c r="B36" t="inlineStr">
        <is>
          <t>VTWO</t>
        </is>
      </c>
      <c r="C36" s="4" t="n">
        <v>0.9955074722655175</v>
      </c>
      <c r="D36" s="2" t="inlineStr">
        <is>
          <t>IWMI</t>
        </is>
      </c>
      <c r="E36" t="inlineStr">
        <is>
          <t>IRA</t>
        </is>
      </c>
      <c r="G36" s="182" t="n">
        <v>110.32</v>
      </c>
      <c r="H36" s="183" t="n">
        <v>2337100</v>
      </c>
      <c r="I36" s="181" t="n">
        <v>-0.01067171</v>
      </c>
      <c r="J36" s="181" t="n">
        <v>-0.03380628</v>
      </c>
      <c r="K36" s="181" t="n">
        <v>-0.00996142</v>
      </c>
      <c r="L36" s="181" t="n">
        <v>0.32343842</v>
      </c>
      <c r="M36" s="181" t="n">
        <v>0.3467783</v>
      </c>
      <c r="N36" s="181" t="n">
        <v>0.33418223</v>
      </c>
    </row>
    <row r="37">
      <c r="G37" s="182">
        <f>IF($B37="","",IFERROR(XLOOKUP($B37,'Daily Update'!$A:$A,'Daily Update'!$C:$C),""))</f>
        <v/>
      </c>
      <c r="H37" s="183">
        <f>IF($B37="","",IFERROR(XLOOKUP($B37,'Daily Update'!$A:$A,'Daily Update'!$D:$D),""))</f>
        <v/>
      </c>
      <c r="I37" s="181">
        <f>IF($B37="","",IFERROR(XLOOKUP($B37,'Daily Update'!$A:$A,'Daily Update'!$E:$E),""))</f>
        <v/>
      </c>
      <c r="J37" s="181">
        <f>IF($B37="","",IFERROR(XLOOKUP($B37,'Daily Update'!$A:$A,'Daily Update'!$F:$F),""))</f>
        <v/>
      </c>
      <c r="K37" s="181">
        <f>IF($B37="","",IFERROR(XLOOKUP($B37,'Daily Update'!$A:$A,'Daily Update'!$G:$G),""))</f>
        <v/>
      </c>
      <c r="L37" s="181">
        <f>IF($B37="","",IFERROR(XLOOKUP($B37,'Daily Update'!$A:$A,'Daily Update'!$H:$H),""))</f>
        <v/>
      </c>
      <c r="M37" s="181">
        <f>IF($B37="","",IFERROR(XLOOKUP($B37,'Daily Update'!$A:$A,'Daily Update'!$I:$I),""))</f>
        <v/>
      </c>
      <c r="N37" s="181">
        <f>IF($B37="","",IFERROR(XLOOKUP($B37,'Daily Update'!$A:$A,'Daily Update'!$J:$J),""))</f>
        <v/>
      </c>
    </row>
    <row r="38">
      <c r="A38" s="38" t="inlineStr">
        <is>
          <t>LISTED FUNDS TRUST ROUNDHILL MAGNIFICENT SEVEN ETF</t>
        </is>
      </c>
      <c r="B38" s="8" t="inlineStr">
        <is>
          <t>MAGS</t>
        </is>
      </c>
      <c r="C38" s="7">
        <f>SUM(C39:C49)</f>
        <v/>
      </c>
      <c r="D38" s="8" t="inlineStr">
        <is>
          <t>MAGS</t>
        </is>
      </c>
      <c r="E38" s="38" t="inlineStr">
        <is>
          <t>IRA</t>
        </is>
      </c>
      <c r="F38" s="38" t="n"/>
      <c r="G38" s="182" t="n">
        <v>68.53</v>
      </c>
      <c r="H38" s="183" t="n">
        <v>2829500</v>
      </c>
      <c r="I38" s="181" t="n">
        <v>-0.01338901</v>
      </c>
      <c r="J38" s="181" t="n">
        <v>-0.008535940000000001</v>
      </c>
      <c r="K38" s="181" t="n">
        <v>0.03130176</v>
      </c>
      <c r="L38" s="181" t="n">
        <v>0.33032396</v>
      </c>
      <c r="M38" s="181" t="n">
        <v>0.7189959299999999</v>
      </c>
      <c r="N38" s="181" t="n"/>
    </row>
    <row r="39">
      <c r="A39" t="inlineStr">
        <is>
          <t>United States Treasury Bills 0%</t>
        </is>
      </c>
      <c r="C39" s="4" t="n">
        <v>0.4212</v>
      </c>
      <c r="D39" s="2" t="inlineStr">
        <is>
          <t>MAGS</t>
        </is>
      </c>
      <c r="E39" t="inlineStr">
        <is>
          <t>IRA</t>
        </is>
      </c>
      <c r="G39" s="182">
        <f>IF($B39="","",IFERROR(XLOOKUP($B39,'Daily Update'!$A:$A,'Daily Update'!$C:$C),""))</f>
        <v/>
      </c>
      <c r="H39" s="183">
        <f>IF($B39="","",IFERROR(XLOOKUP($B39,'Daily Update'!$A:$A,'Daily Update'!$D:$D),""))</f>
        <v/>
      </c>
      <c r="I39" s="181">
        <f>IF($B39="","",IFERROR(XLOOKUP($B39,'Daily Update'!$A:$A,'Daily Update'!$E:$E),""))</f>
        <v/>
      </c>
      <c r="J39" s="181">
        <f>IF($B39="","",IFERROR(XLOOKUP($B39,'Daily Update'!$A:$A,'Daily Update'!$F:$F),""))</f>
        <v/>
      </c>
      <c r="K39" s="181">
        <f>IF($B39="","",IFERROR(XLOOKUP($B39,'Daily Update'!$A:$A,'Daily Update'!$G:$G),""))</f>
        <v/>
      </c>
      <c r="L39" s="181">
        <f>IF($B39="","",IFERROR(XLOOKUP($B39,'Daily Update'!$A:$A,'Daily Update'!$H:$H),""))</f>
        <v/>
      </c>
      <c r="M39" s="181">
        <f>IF($B39="","",IFERROR(XLOOKUP($B39,'Daily Update'!$A:$A,'Daily Update'!$I:$I),""))</f>
        <v/>
      </c>
      <c r="N39" s="181">
        <f>IF($B39="","",IFERROR(XLOOKUP($B39,'Daily Update'!$A:$A,'Daily Update'!$J:$J),""))</f>
        <v/>
      </c>
    </row>
    <row r="40">
      <c r="A40" t="inlineStr">
        <is>
          <t xml:space="preserve">Meta Platforms Inc Class A </t>
        </is>
      </c>
      <c r="B40" t="inlineStr">
        <is>
          <t>META</t>
        </is>
      </c>
      <c r="C40" s="4" t="n">
        <v>0.0531</v>
      </c>
      <c r="D40" t="inlineStr">
        <is>
          <t>MAGS</t>
        </is>
      </c>
      <c r="E40" t="inlineStr">
        <is>
          <t>IRA</t>
        </is>
      </c>
      <c r="G40" s="182" t="n">
        <v>602.61</v>
      </c>
      <c r="H40" s="183" t="n">
        <v>11720900</v>
      </c>
      <c r="I40" s="181" t="n">
        <v>-0.01407051</v>
      </c>
      <c r="J40" s="181" t="n">
        <v>-0.00064679</v>
      </c>
      <c r="K40" s="181" t="n">
        <v>-0.12481302</v>
      </c>
      <c r="L40" s="181" t="n">
        <v>-0.05611858</v>
      </c>
      <c r="M40" s="181" t="n">
        <v>0.28561643</v>
      </c>
      <c r="N40" s="181" t="n">
        <v>0.90621436</v>
      </c>
    </row>
    <row r="41">
      <c r="A41" t="inlineStr">
        <is>
          <t>ALPHABET INC-CL A SWAP</t>
        </is>
      </c>
      <c r="C41" s="4" t="n">
        <v>0.0531</v>
      </c>
      <c r="D41" t="inlineStr">
        <is>
          <t>MAGS</t>
        </is>
      </c>
      <c r="E41" t="inlineStr">
        <is>
          <t>IRA</t>
        </is>
      </c>
      <c r="G41" s="182">
        <f>IF($B41="","",IFERROR(XLOOKUP($B41,'Daily Update'!$A:$A,'Daily Update'!$C:$C),""))</f>
        <v/>
      </c>
      <c r="H41" s="183">
        <f>IF($B41="","",IFERROR(XLOOKUP($B41,'Daily Update'!$A:$A,'Daily Update'!$D:$D),""))</f>
        <v/>
      </c>
      <c r="I41" s="181">
        <f>IF($B41="","",IFERROR(XLOOKUP($B41,'Daily Update'!$A:$A,'Daily Update'!$E:$E),""))</f>
        <v/>
      </c>
      <c r="J41" s="181">
        <f>IF($B41="","",IFERROR(XLOOKUP($B41,'Daily Update'!$A:$A,'Daily Update'!$F:$F),""))</f>
        <v/>
      </c>
      <c r="K41" s="181">
        <f>IF($B41="","",IFERROR(XLOOKUP($B41,'Daily Update'!$A:$A,'Daily Update'!$G:$G),""))</f>
        <v/>
      </c>
      <c r="L41" s="181">
        <f>IF($B41="","",IFERROR(XLOOKUP($B41,'Daily Update'!$A:$A,'Daily Update'!$H:$H),""))</f>
        <v/>
      </c>
      <c r="M41" s="181">
        <f>IF($B41="","",IFERROR(XLOOKUP($B41,'Daily Update'!$A:$A,'Daily Update'!$I:$I),""))</f>
        <v/>
      </c>
      <c r="N41" s="181">
        <f>IF($B41="","",IFERROR(XLOOKUP($B41,'Daily Update'!$A:$A,'Daily Update'!$J:$J),""))</f>
        <v/>
      </c>
    </row>
    <row r="42">
      <c r="A42" t="inlineStr">
        <is>
          <t xml:space="preserve">Microsoft Corp </t>
        </is>
      </c>
      <c r="B42" t="inlineStr">
        <is>
          <t>MSFT</t>
        </is>
      </c>
      <c r="C42" s="4" t="n">
        <v>0.0544</v>
      </c>
      <c r="D42" t="inlineStr">
        <is>
          <t>MAGS</t>
        </is>
      </c>
      <c r="E42" t="inlineStr">
        <is>
          <t>IRA</t>
        </is>
      </c>
      <c r="G42" s="182" t="n">
        <v>417.42</v>
      </c>
      <c r="H42" s="183" t="n">
        <v>32942800</v>
      </c>
      <c r="I42" s="181" t="n">
        <v>-0.01444963</v>
      </c>
      <c r="J42" s="181" t="n">
        <v>0.02366536</v>
      </c>
      <c r="K42" s="181" t="n">
        <v>-0.01270133</v>
      </c>
      <c r="L42" s="181" t="n">
        <v>-0.08504617</v>
      </c>
      <c r="M42" s="181" t="n">
        <v>0.00679123</v>
      </c>
      <c r="N42" s="181" t="n">
        <v>0.76083236</v>
      </c>
    </row>
    <row r="43">
      <c r="A43" t="inlineStr">
        <is>
          <t>AMAZON.COM INC SWAP</t>
        </is>
      </c>
      <c r="C43" s="4" t="n">
        <v>0.055</v>
      </c>
      <c r="D43" t="inlineStr">
        <is>
          <t>MAGS</t>
        </is>
      </c>
      <c r="E43" t="inlineStr">
        <is>
          <t>IRA</t>
        </is>
      </c>
      <c r="G43" s="182">
        <f>IF($B43="","",IFERROR(XLOOKUP($B43,'Daily Update'!$A:$A,'Daily Update'!$C:$C),""))</f>
        <v/>
      </c>
      <c r="H43" s="183">
        <f>IF($B43="","",IFERROR(XLOOKUP($B43,'Daily Update'!$A:$A,'Daily Update'!$D:$D),""))</f>
        <v/>
      </c>
      <c r="I43" s="181">
        <f>IF($B43="","",IFERROR(XLOOKUP($B43,'Daily Update'!$A:$A,'Daily Update'!$E:$E),""))</f>
        <v/>
      </c>
      <c r="J43" s="181">
        <f>IF($B43="","",IFERROR(XLOOKUP($B43,'Daily Update'!$A:$A,'Daily Update'!$F:$F),""))</f>
        <v/>
      </c>
      <c r="K43" s="181">
        <f>IF($B43="","",IFERROR(XLOOKUP($B43,'Daily Update'!$A:$A,'Daily Update'!$G:$G),""))</f>
        <v/>
      </c>
      <c r="L43" s="181">
        <f>IF($B43="","",IFERROR(XLOOKUP($B43,'Daily Update'!$A:$A,'Daily Update'!$H:$H),""))</f>
        <v/>
      </c>
      <c r="M43" s="181">
        <f>IF($B43="","",IFERROR(XLOOKUP($B43,'Daily Update'!$A:$A,'Daily Update'!$I:$I),""))</f>
        <v/>
      </c>
      <c r="N43" s="181">
        <f>IF($B43="","",IFERROR(XLOOKUP($B43,'Daily Update'!$A:$A,'Daily Update'!$J:$J),""))</f>
        <v/>
      </c>
    </row>
    <row r="44">
      <c r="A44" t="inlineStr">
        <is>
          <t xml:space="preserve">Alphabet Inc Class A </t>
        </is>
      </c>
      <c r="B44" t="inlineStr">
        <is>
          <t>GOOGL</t>
        </is>
      </c>
      <c r="C44" s="4" t="n">
        <v>0.0552</v>
      </c>
      <c r="D44" t="inlineStr">
        <is>
          <t>MAGS</t>
        </is>
      </c>
      <c r="E44" t="inlineStr">
        <is>
          <t>IRA</t>
        </is>
      </c>
      <c r="G44" s="182" t="n">
        <v>387.66</v>
      </c>
      <c r="H44" s="183" t="n">
        <v>39458400</v>
      </c>
      <c r="I44" s="181" t="n">
        <v>-0.02337884</v>
      </c>
      <c r="J44" s="181" t="n">
        <v>0.0008003</v>
      </c>
      <c r="K44" s="181" t="n">
        <v>0.13457039</v>
      </c>
      <c r="L44" s="181" t="n">
        <v>1.33580064</v>
      </c>
      <c r="M44" s="181" t="n">
        <v>1.22006163</v>
      </c>
      <c r="N44" s="181" t="n">
        <v>2.38857827</v>
      </c>
    </row>
    <row r="45">
      <c r="A45" t="inlineStr">
        <is>
          <t xml:space="preserve">NVIDIA Corp </t>
        </is>
      </c>
      <c r="B45" t="inlineStr">
        <is>
          <t>NVDA</t>
        </is>
      </c>
      <c r="C45" s="4" t="n">
        <v>0.0567</v>
      </c>
      <c r="D45" t="inlineStr">
        <is>
          <t>MAGS</t>
        </is>
      </c>
      <c r="E45" t="inlineStr">
        <is>
          <t>IRA</t>
        </is>
      </c>
      <c r="G45" s="182" t="n">
        <v>220.61</v>
      </c>
      <c r="H45" s="183" t="n">
        <v>140201600</v>
      </c>
      <c r="I45" s="181" t="n">
        <v>-0.00769165</v>
      </c>
      <c r="J45" s="181" t="n">
        <v>-0.00076999</v>
      </c>
      <c r="K45" s="181" t="n">
        <v>0.09386161</v>
      </c>
      <c r="L45" s="181" t="n">
        <v>0.62766095</v>
      </c>
      <c r="M45" s="181" t="n">
        <v>1.38686075</v>
      </c>
      <c r="N45" s="181" t="n">
        <v>14.1353981</v>
      </c>
    </row>
    <row r="46">
      <c r="A46" t="inlineStr">
        <is>
          <t>ALPHABET INC SWAP GS</t>
        </is>
      </c>
      <c r="C46" s="4" t="n">
        <v>0.0585</v>
      </c>
      <c r="D46" t="inlineStr">
        <is>
          <t>MAGS</t>
        </is>
      </c>
      <c r="E46" t="inlineStr">
        <is>
          <t>IRA</t>
        </is>
      </c>
      <c r="G46" s="182">
        <f>IF($B46="","",IFERROR(XLOOKUP($B46,'Daily Update'!$A:$A,'Daily Update'!$C:$C),""))</f>
        <v/>
      </c>
      <c r="H46" s="183">
        <f>IF($B46="","",IFERROR(XLOOKUP($B46,'Daily Update'!$A:$A,'Daily Update'!$D:$D),""))</f>
        <v/>
      </c>
      <c r="I46" s="181">
        <f>IF($B46="","",IFERROR(XLOOKUP($B46,'Daily Update'!$A:$A,'Daily Update'!$E:$E),""))</f>
        <v/>
      </c>
      <c r="J46" s="181">
        <f>IF($B46="","",IFERROR(XLOOKUP($B46,'Daily Update'!$A:$A,'Daily Update'!$F:$F),""))</f>
        <v/>
      </c>
      <c r="K46" s="181">
        <f>IF($B46="","",IFERROR(XLOOKUP($B46,'Daily Update'!$A:$A,'Daily Update'!$G:$G),""))</f>
        <v/>
      </c>
      <c r="L46" s="181">
        <f>IF($B46="","",IFERROR(XLOOKUP($B46,'Daily Update'!$A:$A,'Daily Update'!$H:$H),""))</f>
        <v/>
      </c>
      <c r="M46" s="181">
        <f>IF($B46="","",IFERROR(XLOOKUP($B46,'Daily Update'!$A:$A,'Daily Update'!$I:$I),""))</f>
        <v/>
      </c>
      <c r="N46" s="181">
        <f>IF($B46="","",IFERROR(XLOOKUP($B46,'Daily Update'!$A:$A,'Daily Update'!$J:$J),""))</f>
        <v/>
      </c>
    </row>
    <row r="47">
      <c r="A47" t="inlineStr">
        <is>
          <t xml:space="preserve">Amazon.com Inc </t>
        </is>
      </c>
      <c r="B47" t="inlineStr">
        <is>
          <t>AMZN</t>
        </is>
      </c>
      <c r="C47" s="4" t="n">
        <v>0.06270000000000001</v>
      </c>
      <c r="D47" t="inlineStr">
        <is>
          <t>MAGS</t>
        </is>
      </c>
      <c r="E47" t="inlineStr">
        <is>
          <t>IRA</t>
        </is>
      </c>
      <c r="G47" s="182" t="n">
        <v>259.34</v>
      </c>
      <c r="H47" s="183" t="n">
        <v>40269100</v>
      </c>
      <c r="I47" s="181" t="n">
        <v>-0.02084116</v>
      </c>
      <c r="J47" s="181" t="n">
        <v>-0.02437744</v>
      </c>
      <c r="K47" s="181" t="n">
        <v>0.0350415</v>
      </c>
      <c r="L47" s="181" t="n">
        <v>0.25795495</v>
      </c>
      <c r="M47" s="181" t="n">
        <v>0.40411478</v>
      </c>
      <c r="N47" s="181" t="n">
        <v>0.59707848</v>
      </c>
    </row>
    <row r="48">
      <c r="A48" t="inlineStr">
        <is>
          <t xml:space="preserve">Roundhill Ultra Shrt Dur No Div TrgtETF </t>
        </is>
      </c>
      <c r="B48" t="inlineStr">
        <is>
          <t>XBOX</t>
        </is>
      </c>
      <c r="C48" s="4" t="n">
        <v>0.078</v>
      </c>
      <c r="D48" t="inlineStr">
        <is>
          <t>MAGS</t>
        </is>
      </c>
      <c r="E48" t="inlineStr">
        <is>
          <t>IRA</t>
        </is>
      </c>
      <c r="G48" s="182" t="n">
        <v>99.53</v>
      </c>
      <c r="H48" s="183" t="n">
        <v>32700</v>
      </c>
      <c r="I48" s="181" t="n">
        <v>0</v>
      </c>
      <c r="J48" s="181" t="n">
        <v>0.00090503</v>
      </c>
      <c r="K48" s="181" t="n">
        <v>0.00241714</v>
      </c>
      <c r="L48" s="181" t="n"/>
      <c r="M48" s="181" t="n"/>
      <c r="N48" s="181" t="n"/>
    </row>
    <row r="49">
      <c r="A49" t="inlineStr">
        <is>
          <t>Other</t>
        </is>
      </c>
      <c r="B49" t="inlineStr">
        <is>
          <t>OTH</t>
        </is>
      </c>
      <c r="C49" s="4">
        <f>100%-(SUM(C39:C48))</f>
        <v/>
      </c>
      <c r="D49" t="inlineStr">
        <is>
          <t>MAGS</t>
        </is>
      </c>
      <c r="E49" t="inlineStr">
        <is>
          <t>IRA</t>
        </is>
      </c>
      <c r="G49" s="182">
        <f>IF($B49="","",IFERROR(XLOOKUP($B49,'Daily Update'!$A:$A,'Daily Update'!$C:$C),""))</f>
        <v/>
      </c>
      <c r="H49" s="183">
        <f>IF($B49="","",IFERROR(XLOOKUP($B49,'Daily Update'!$A:$A,'Daily Update'!$D:$D),""))</f>
        <v/>
      </c>
      <c r="I49" s="181">
        <f>IF($B49="","",IFERROR(XLOOKUP($B49,'Daily Update'!$A:$A,'Daily Update'!$E:$E),""))</f>
        <v/>
      </c>
      <c r="J49" s="181">
        <f>IF($B49="","",IFERROR(XLOOKUP($B49,'Daily Update'!$A:$A,'Daily Update'!$F:$F),""))</f>
        <v/>
      </c>
      <c r="K49" s="181">
        <f>IF($B49="","",IFERROR(XLOOKUP($B49,'Daily Update'!$A:$A,'Daily Update'!$G:$G),""))</f>
        <v/>
      </c>
      <c r="L49" s="181">
        <f>IF($B49="","",IFERROR(XLOOKUP($B49,'Daily Update'!$A:$A,'Daily Update'!$H:$H),""))</f>
        <v/>
      </c>
      <c r="M49" s="181">
        <f>IF($B49="","",IFERROR(XLOOKUP($B49,'Daily Update'!$A:$A,'Daily Update'!$I:$I),""))</f>
        <v/>
      </c>
      <c r="N49" s="181">
        <f>IF($B49="","",IFERROR(XLOOKUP($B49,'Daily Update'!$A:$A,'Daily Update'!$J:$J),""))</f>
        <v/>
      </c>
    </row>
    <row r="50">
      <c r="D50" s="2" t="n"/>
      <c r="G50" s="182">
        <f>IF($B50="","",IFERROR(XLOOKUP($B50,'Daily Update'!$A:$A,'Daily Update'!$C:$C),""))</f>
        <v/>
      </c>
      <c r="H50" s="183">
        <f>IF($B50="","",IFERROR(XLOOKUP($B50,'Daily Update'!$A:$A,'Daily Update'!$D:$D),""))</f>
        <v/>
      </c>
      <c r="I50" s="181">
        <f>IF($B50="","",IFERROR(XLOOKUP($B50,'Daily Update'!$A:$A,'Daily Update'!$E:$E),""))</f>
        <v/>
      </c>
      <c r="J50" s="181">
        <f>IF($B50="","",IFERROR(XLOOKUP($B50,'Daily Update'!$A:$A,'Daily Update'!$F:$F),""))</f>
        <v/>
      </c>
      <c r="K50" s="181">
        <f>IF($B50="","",IFERROR(XLOOKUP($B50,'Daily Update'!$A:$A,'Daily Update'!$G:$G),""))</f>
        <v/>
      </c>
      <c r="L50" s="181">
        <f>IF($B50="","",IFERROR(XLOOKUP($B50,'Daily Update'!$A:$A,'Daily Update'!$H:$H),""))</f>
        <v/>
      </c>
      <c r="M50" s="181">
        <f>IF($B50="","",IFERROR(XLOOKUP($B50,'Daily Update'!$A:$A,'Daily Update'!$I:$I),""))</f>
        <v/>
      </c>
      <c r="N50" s="181">
        <f>IF($B50="","",IFERROR(XLOOKUP($B50,'Daily Update'!$A:$A,'Daily Update'!$J:$J),""))</f>
        <v/>
      </c>
    </row>
    <row r="51">
      <c r="A51" s="38" t="inlineStr">
        <is>
          <t>NEOS ETF TRUST NEOS NASDAQ 100 HIGH INCOME ETF</t>
        </is>
      </c>
      <c r="B51" s="8" t="inlineStr">
        <is>
          <t>QQQI</t>
        </is>
      </c>
      <c r="C51" s="7">
        <f>SUM(C52:C61)</f>
        <v/>
      </c>
      <c r="D51" s="8" t="inlineStr">
        <is>
          <t>QQQI</t>
        </is>
      </c>
      <c r="E51" s="38" t="inlineStr">
        <is>
          <t>IRA</t>
        </is>
      </c>
      <c r="F51" s="38" t="n"/>
      <c r="G51" s="182" t="n">
        <v>56.14</v>
      </c>
      <c r="H51" s="183" t="n">
        <v>7640900</v>
      </c>
      <c r="I51" s="181" t="n">
        <v>-0.00354989</v>
      </c>
      <c r="J51" s="181" t="n">
        <v>-0.00319603</v>
      </c>
      <c r="K51" s="181" t="n">
        <v>0.05412315</v>
      </c>
      <c r="L51" s="181" t="n">
        <v>0.2700307</v>
      </c>
      <c r="M51" s="181" t="n">
        <v>0.46685149</v>
      </c>
      <c r="N51" s="181" t="n"/>
    </row>
    <row r="52">
      <c r="A52" t="inlineStr">
        <is>
          <t xml:space="preserve">Meta Platforms Inc Class A </t>
        </is>
      </c>
      <c r="B52" t="inlineStr">
        <is>
          <t>META</t>
        </is>
      </c>
      <c r="C52" s="4" t="n">
        <v>0.0329</v>
      </c>
      <c r="D52" s="2" t="inlineStr">
        <is>
          <t>QQQI</t>
        </is>
      </c>
      <c r="E52" t="inlineStr">
        <is>
          <t>IRA</t>
        </is>
      </c>
      <c r="G52" s="182" t="n">
        <v>602.61</v>
      </c>
      <c r="H52" s="183" t="n">
        <v>11720900</v>
      </c>
      <c r="I52" s="181" t="n">
        <v>-0.01407051</v>
      </c>
      <c r="J52" s="181" t="n">
        <v>-0.00064679</v>
      </c>
      <c r="K52" s="181" t="n">
        <v>-0.12481302</v>
      </c>
      <c r="L52" s="181" t="n">
        <v>-0.05611858</v>
      </c>
      <c r="M52" s="181" t="n">
        <v>0.28561643</v>
      </c>
      <c r="N52" s="181" t="n">
        <v>0.90621436</v>
      </c>
    </row>
    <row r="53">
      <c r="A53" t="inlineStr">
        <is>
          <t xml:space="preserve">Tesla Inc </t>
        </is>
      </c>
      <c r="B53" t="inlineStr">
        <is>
          <t>TSLA</t>
        </is>
      </c>
      <c r="C53" s="4" t="n">
        <v>0.0337</v>
      </c>
      <c r="D53" s="2" t="inlineStr">
        <is>
          <t>QQQI</t>
        </is>
      </c>
      <c r="E53" t="inlineStr">
        <is>
          <t>IRA</t>
        </is>
      </c>
      <c r="G53" s="182" t="n">
        <v>404.11</v>
      </c>
      <c r="H53" s="183" t="n">
        <v>46354700</v>
      </c>
      <c r="I53" s="181" t="n">
        <v>-0.01434183</v>
      </c>
      <c r="J53" s="181" t="n">
        <v>-0.06768953</v>
      </c>
      <c r="K53" s="181" t="n">
        <v>0.008711470000000001</v>
      </c>
      <c r="L53" s="181" t="n">
        <v>0.18129729</v>
      </c>
      <c r="M53" s="181" t="n">
        <v>1.27718906</v>
      </c>
      <c r="N53" s="181" t="n">
        <v>1.06607234</v>
      </c>
    </row>
    <row r="54">
      <c r="A54" t="inlineStr">
        <is>
          <t xml:space="preserve">Broadcom Inc </t>
        </is>
      </c>
      <c r="B54" t="inlineStr">
        <is>
          <t>AVGO</t>
        </is>
      </c>
      <c r="C54" s="4" t="n">
        <v>0.0365</v>
      </c>
      <c r="D54" s="2" t="inlineStr">
        <is>
          <t>QQQI</t>
        </is>
      </c>
      <c r="E54" t="inlineStr">
        <is>
          <t>IRA</t>
        </is>
      </c>
      <c r="G54" s="182" t="n">
        <v>411.07</v>
      </c>
      <c r="H54" s="183" t="n">
        <v>20620900</v>
      </c>
      <c r="I54" s="181" t="n">
        <v>-0.02291361</v>
      </c>
      <c r="J54" s="181" t="n">
        <v>-0.01962791</v>
      </c>
      <c r="K54" s="181" t="n">
        <v>0.01114281</v>
      </c>
      <c r="L54" s="181" t="n">
        <v>0.7968204800000001</v>
      </c>
      <c r="M54" s="181" t="n">
        <v>2.00630568</v>
      </c>
      <c r="N54" s="181" t="n">
        <v>8.985732649999999</v>
      </c>
    </row>
    <row r="55">
      <c r="A55" t="inlineStr">
        <is>
          <t xml:space="preserve">Alphabet Inc Class C </t>
        </is>
      </c>
      <c r="B55" t="inlineStr">
        <is>
          <t>GOOG</t>
        </is>
      </c>
      <c r="C55" s="4" t="n">
        <v>0.0381</v>
      </c>
      <c r="D55" s="2" t="inlineStr">
        <is>
          <t>QQQI</t>
        </is>
      </c>
      <c r="E55" t="inlineStr">
        <is>
          <t>IRA</t>
        </is>
      </c>
      <c r="G55" s="182" t="n">
        <v>384.9</v>
      </c>
      <c r="H55" s="183" t="n">
        <v>25497700</v>
      </c>
      <c r="I55" s="181" t="n">
        <v>-0.02088472</v>
      </c>
      <c r="J55" s="181" t="n">
        <v>0.00281378</v>
      </c>
      <c r="K55" s="181" t="n">
        <v>0.13406011</v>
      </c>
      <c r="L55" s="181" t="n">
        <v>1.30077221</v>
      </c>
      <c r="M55" s="181" t="n">
        <v>1.18884331</v>
      </c>
      <c r="N55" s="181" t="n">
        <v>2.2941019</v>
      </c>
    </row>
    <row r="56">
      <c r="A56" t="inlineStr">
        <is>
          <t xml:space="preserve">Alphabet Inc Class A </t>
        </is>
      </c>
      <c r="B56" t="inlineStr">
        <is>
          <t>GOOGL</t>
        </is>
      </c>
      <c r="C56" s="4" t="n">
        <v>0.0412</v>
      </c>
      <c r="D56" s="2" t="inlineStr">
        <is>
          <t>QQQI</t>
        </is>
      </c>
      <c r="E56" t="inlineStr">
        <is>
          <t>IRA</t>
        </is>
      </c>
      <c r="G56" s="182" t="n">
        <v>387.66</v>
      </c>
      <c r="H56" s="183" t="n">
        <v>39458400</v>
      </c>
      <c r="I56" s="181" t="n">
        <v>-0.02337884</v>
      </c>
      <c r="J56" s="181" t="n">
        <v>0.0008003</v>
      </c>
      <c r="K56" s="181" t="n">
        <v>0.13457039</v>
      </c>
      <c r="L56" s="181" t="n">
        <v>1.33580064</v>
      </c>
      <c r="M56" s="181" t="n">
        <v>1.22006163</v>
      </c>
      <c r="N56" s="181" t="n">
        <v>2.38857827</v>
      </c>
    </row>
    <row r="57">
      <c r="A57" t="inlineStr">
        <is>
          <t xml:space="preserve">Amazon.com Inc </t>
        </is>
      </c>
      <c r="B57" t="inlineStr">
        <is>
          <t>AMZN</t>
        </is>
      </c>
      <c r="C57" s="4" t="n">
        <v>0.0518</v>
      </c>
      <c r="D57" s="2" t="inlineStr">
        <is>
          <t>QQQI</t>
        </is>
      </c>
      <c r="E57" t="inlineStr">
        <is>
          <t>IRA</t>
        </is>
      </c>
      <c r="G57" s="182" t="n">
        <v>259.34</v>
      </c>
      <c r="H57" s="183" t="n">
        <v>40269100</v>
      </c>
      <c r="I57" s="181" t="n">
        <v>-0.02084116</v>
      </c>
      <c r="J57" s="181" t="n">
        <v>-0.02437744</v>
      </c>
      <c r="K57" s="181" t="n">
        <v>0.0350415</v>
      </c>
      <c r="L57" s="181" t="n">
        <v>0.25795495</v>
      </c>
      <c r="M57" s="181" t="n">
        <v>0.40411478</v>
      </c>
      <c r="N57" s="181" t="n">
        <v>0.59707848</v>
      </c>
    </row>
    <row r="58">
      <c r="A58" t="inlineStr">
        <is>
          <t xml:space="preserve">Microsoft Corp </t>
        </is>
      </c>
      <c r="B58" t="inlineStr">
        <is>
          <t>MSFT</t>
        </is>
      </c>
      <c r="C58" s="4" t="n">
        <v>0.0553</v>
      </c>
      <c r="D58" s="2" t="inlineStr">
        <is>
          <t>QQQI</t>
        </is>
      </c>
      <c r="E58" t="inlineStr">
        <is>
          <t>IRA</t>
        </is>
      </c>
      <c r="G58" s="182" t="n">
        <v>417.42</v>
      </c>
      <c r="H58" s="183" t="n">
        <v>32942800</v>
      </c>
      <c r="I58" s="181" t="n">
        <v>-0.01444963</v>
      </c>
      <c r="J58" s="181" t="n">
        <v>0.02366536</v>
      </c>
      <c r="K58" s="181" t="n">
        <v>-0.01270133</v>
      </c>
      <c r="L58" s="181" t="n">
        <v>-0.08504617</v>
      </c>
      <c r="M58" s="181" t="n">
        <v>0.00679123</v>
      </c>
      <c r="N58" s="181" t="n">
        <v>0.76083236</v>
      </c>
    </row>
    <row r="59">
      <c r="A59" t="inlineStr">
        <is>
          <t xml:space="preserve">Apple Inc </t>
        </is>
      </c>
      <c r="B59" t="inlineStr">
        <is>
          <t>AAPL</t>
        </is>
      </c>
      <c r="C59" s="4" t="n">
        <v>0.0707</v>
      </c>
      <c r="D59" s="2" t="inlineStr">
        <is>
          <t>QQQI</t>
        </is>
      </c>
      <c r="E59" t="inlineStr">
        <is>
          <t>IRA</t>
        </is>
      </c>
      <c r="G59" s="182" t="n">
        <v>298.97</v>
      </c>
      <c r="H59" s="183" t="n">
        <v>42199700</v>
      </c>
      <c r="I59" s="181" t="n">
        <v>0.003794</v>
      </c>
      <c r="J59" s="181" t="n">
        <v>0.01414523</v>
      </c>
      <c r="K59" s="181" t="n">
        <v>0.10737315</v>
      </c>
      <c r="L59" s="181" t="n">
        <v>0.43766669</v>
      </c>
      <c r="M59" s="181" t="n">
        <v>0.5882436599999999</v>
      </c>
      <c r="N59" s="181" t="n">
        <v>1.40918958</v>
      </c>
    </row>
    <row r="60">
      <c r="A60" t="inlineStr">
        <is>
          <t xml:space="preserve">NVIDIA Corp </t>
        </is>
      </c>
      <c r="B60" t="inlineStr">
        <is>
          <t>NVDA</t>
        </is>
      </c>
      <c r="C60" s="4" t="n">
        <v>0.0857</v>
      </c>
      <c r="D60" s="2" t="inlineStr">
        <is>
          <t>QQQI</t>
        </is>
      </c>
      <c r="E60" t="inlineStr">
        <is>
          <t>IRA</t>
        </is>
      </c>
      <c r="G60" s="182" t="n">
        <v>220.61</v>
      </c>
      <c r="H60" s="183" t="n">
        <v>140201600</v>
      </c>
      <c r="I60" s="181" t="n">
        <v>-0.00769165</v>
      </c>
      <c r="J60" s="181" t="n">
        <v>-0.00076999</v>
      </c>
      <c r="K60" s="181" t="n">
        <v>0.09386161</v>
      </c>
      <c r="L60" s="181" t="n">
        <v>0.62766095</v>
      </c>
      <c r="M60" s="181" t="n">
        <v>1.38686075</v>
      </c>
      <c r="N60" s="181" t="n">
        <v>14.1353981</v>
      </c>
    </row>
    <row r="61">
      <c r="A61" t="inlineStr">
        <is>
          <t>Other</t>
        </is>
      </c>
      <c r="B61" t="inlineStr">
        <is>
          <t>OTH</t>
        </is>
      </c>
      <c r="C61" s="4">
        <f>100%-(SUM(C52:C60))</f>
        <v/>
      </c>
      <c r="D61" s="2" t="inlineStr">
        <is>
          <t>QQQI</t>
        </is>
      </c>
      <c r="E61" t="inlineStr">
        <is>
          <t>IRA</t>
        </is>
      </c>
      <c r="G61" s="182">
        <f>IF($B61="","",IFERROR(XLOOKUP($B61,'Daily Update'!$A:$A,'Daily Update'!$C:$C),""))</f>
        <v/>
      </c>
      <c r="H61" s="183">
        <f>IF($B61="","",IFERROR(XLOOKUP($B61,'Daily Update'!$A:$A,'Daily Update'!$D:$D),""))</f>
        <v/>
      </c>
      <c r="I61" s="181">
        <f>IF($B61="","",IFERROR(XLOOKUP($B61,'Daily Update'!$A:$A,'Daily Update'!$E:$E),""))</f>
        <v/>
      </c>
      <c r="J61" s="181">
        <f>IF($B61="","",IFERROR(XLOOKUP($B61,'Daily Update'!$A:$A,'Daily Update'!$F:$F),""))</f>
        <v/>
      </c>
      <c r="K61" s="181">
        <f>IF($B61="","",IFERROR(XLOOKUP($B61,'Daily Update'!$A:$A,'Daily Update'!$G:$G),""))</f>
        <v/>
      </c>
      <c r="L61" s="181">
        <f>IF($B61="","",IFERROR(XLOOKUP($B61,'Daily Update'!$A:$A,'Daily Update'!$H:$H),""))</f>
        <v/>
      </c>
      <c r="M61" s="181">
        <f>IF($B61="","",IFERROR(XLOOKUP($B61,'Daily Update'!$A:$A,'Daily Update'!$I:$I),""))</f>
        <v/>
      </c>
      <c r="N61" s="181">
        <f>IF($B61="","",IFERROR(XLOOKUP($B61,'Daily Update'!$A:$A,'Daily Update'!$J:$J),""))</f>
        <v/>
      </c>
    </row>
    <row r="62">
      <c r="G62" s="182">
        <f>IF($B62="","",IFERROR(XLOOKUP($B62,'Daily Update'!$A:$A,'Daily Update'!$C:$C),""))</f>
        <v/>
      </c>
      <c r="H62" s="183">
        <f>IF($B62="","",IFERROR(XLOOKUP($B62,'Daily Update'!$A:$A,'Daily Update'!$D:$D),""))</f>
        <v/>
      </c>
      <c r="I62" s="181">
        <f>IF($B62="","",IFERROR(XLOOKUP($B62,'Daily Update'!$A:$A,'Daily Update'!$E:$E),""))</f>
        <v/>
      </c>
      <c r="J62" s="181">
        <f>IF($B62="","",IFERROR(XLOOKUP($B62,'Daily Update'!$A:$A,'Daily Update'!$F:$F),""))</f>
        <v/>
      </c>
      <c r="K62" s="181">
        <f>IF($B62="","",IFERROR(XLOOKUP($B62,'Daily Update'!$A:$A,'Daily Update'!$G:$G),""))</f>
        <v/>
      </c>
      <c r="L62" s="181">
        <f>IF($B62="","",IFERROR(XLOOKUP($B62,'Daily Update'!$A:$A,'Daily Update'!$H:$H),""))</f>
        <v/>
      </c>
      <c r="M62" s="181">
        <f>IF($B62="","",IFERROR(XLOOKUP($B62,'Daily Update'!$A:$A,'Daily Update'!$I:$I),""))</f>
        <v/>
      </c>
      <c r="N62" s="181">
        <f>IF($B62="","",IFERROR(XLOOKUP($B62,'Daily Update'!$A:$A,'Daily Update'!$J:$J),""))</f>
        <v/>
      </c>
    </row>
    <row r="63">
      <c r="A63" s="38" t="inlineStr">
        <is>
          <t>ETF SER SOLUTIONS DEFIANCE QUANTUM ETF</t>
        </is>
      </c>
      <c r="B63" s="8" t="inlineStr">
        <is>
          <t>QTUM</t>
        </is>
      </c>
      <c r="C63" s="7">
        <f>SUM(C64:C72)</f>
        <v/>
      </c>
      <c r="D63" s="8" t="inlineStr">
        <is>
          <t>QTUM</t>
        </is>
      </c>
      <c r="E63" s="38" t="inlineStr">
        <is>
          <t>IRA</t>
        </is>
      </c>
      <c r="F63" s="38" t="n"/>
      <c r="G63" s="182" t="n">
        <v>140.63</v>
      </c>
      <c r="H63" s="183" t="n">
        <v>528600</v>
      </c>
      <c r="I63" s="181" t="n">
        <v>-0.00943859</v>
      </c>
      <c r="J63" s="181" t="n">
        <v>-0.02326706</v>
      </c>
      <c r="K63" s="181" t="n">
        <v>0.09961689999999999</v>
      </c>
      <c r="L63" s="181" t="n">
        <v>0.67591539</v>
      </c>
      <c r="M63" s="181" t="n">
        <v>1.3275651</v>
      </c>
      <c r="N63" s="181" t="n">
        <v>2.18068081</v>
      </c>
    </row>
    <row r="64">
      <c r="A64" t="inlineStr">
        <is>
          <t xml:space="preserve">Coherent Corp </t>
        </is>
      </c>
      <c r="B64" t="inlineStr">
        <is>
          <t>COHR</t>
        </is>
      </c>
      <c r="C64" s="4" t="n">
        <v>0.0177</v>
      </c>
      <c r="D64" s="2" t="inlineStr">
        <is>
          <t>QTUM</t>
        </is>
      </c>
      <c r="E64" t="inlineStr">
        <is>
          <t>IRA</t>
        </is>
      </c>
      <c r="G64" s="182" t="n">
        <v>353.63</v>
      </c>
      <c r="H64" s="183" t="n">
        <v>5771600</v>
      </c>
      <c r="I64" s="181" t="n">
        <v>-0.02535618</v>
      </c>
      <c r="J64" s="181" t="n">
        <v>-0.05449053</v>
      </c>
      <c r="K64" s="181" t="n">
        <v>0.02495512</v>
      </c>
      <c r="L64" s="181" t="n">
        <v>3.45490069</v>
      </c>
      <c r="M64" s="181" t="n">
        <v>5.08343366</v>
      </c>
      <c r="N64" s="181" t="n">
        <v>4.36697539</v>
      </c>
    </row>
    <row r="65">
      <c r="A65" t="inlineStr">
        <is>
          <t xml:space="preserve">Onto Innovation Inc </t>
        </is>
      </c>
      <c r="B65" t="inlineStr">
        <is>
          <t>ONTO</t>
        </is>
      </c>
      <c r="C65" s="4" t="n">
        <v>0.0181</v>
      </c>
      <c r="D65" s="2" t="inlineStr">
        <is>
          <t>QTUM</t>
        </is>
      </c>
      <c r="E65" t="inlineStr">
        <is>
          <t>IRA</t>
        </is>
      </c>
      <c r="G65" s="182" t="n">
        <v>248.08</v>
      </c>
      <c r="H65" s="183" t="n">
        <v>4992400</v>
      </c>
      <c r="I65" s="181" t="n">
        <v>-0.02534081</v>
      </c>
      <c r="J65" s="181" t="n">
        <v>-0.10743326</v>
      </c>
      <c r="K65" s="181" t="n">
        <v>-0.14678775</v>
      </c>
      <c r="L65" s="181" t="n">
        <v>1.47042428</v>
      </c>
      <c r="M65" s="181" t="n">
        <v>0.10997764</v>
      </c>
      <c r="N65" s="181" t="n">
        <v>2.8780678</v>
      </c>
    </row>
    <row r="66">
      <c r="A66" t="inlineStr">
        <is>
          <t xml:space="preserve">Marvell Technology Inc </t>
        </is>
      </c>
      <c r="B66" t="inlineStr">
        <is>
          <t>MRVL</t>
        </is>
      </c>
      <c r="C66" s="4" t="n">
        <v>0.0184</v>
      </c>
      <c r="D66" s="2" t="inlineStr">
        <is>
          <t>QTUM</t>
        </is>
      </c>
      <c r="E66" t="inlineStr">
        <is>
          <t>IRA</t>
        </is>
      </c>
      <c r="G66" s="182" t="n">
        <v>176.27</v>
      </c>
      <c r="H66" s="183" t="n">
        <v>24916400</v>
      </c>
      <c r="I66" s="181" t="n">
        <v>0.04345002</v>
      </c>
      <c r="J66" s="181" t="n">
        <v>0.07155018</v>
      </c>
      <c r="K66" s="181" t="n">
        <v>0.26186557</v>
      </c>
      <c r="L66" s="181" t="n">
        <v>1.8252325</v>
      </c>
      <c r="M66" s="181" t="n">
        <v>1.4656723</v>
      </c>
      <c r="N66" s="181" t="n">
        <v>2.8849938</v>
      </c>
    </row>
    <row r="67">
      <c r="A67" t="inlineStr">
        <is>
          <t xml:space="preserve">ON Semiconductor Corp </t>
        </is>
      </c>
      <c r="B67" t="inlineStr">
        <is>
          <t>ON</t>
        </is>
      </c>
      <c r="C67" s="4" t="n">
        <v>0.0189</v>
      </c>
      <c r="D67" s="2" t="inlineStr">
        <is>
          <t>QTUM</t>
        </is>
      </c>
      <c r="E67" t="inlineStr">
        <is>
          <t>IRA</t>
        </is>
      </c>
      <c r="G67" s="182" t="n">
        <v>106.02</v>
      </c>
      <c r="H67" s="183" t="n">
        <v>11707700</v>
      </c>
      <c r="I67" s="181" t="n">
        <v>-0.03116151</v>
      </c>
      <c r="J67" s="181" t="n">
        <v>0.01834594</v>
      </c>
      <c r="K67" s="181" t="n">
        <v>0.27719545</v>
      </c>
      <c r="L67" s="181" t="n">
        <v>1.41833933</v>
      </c>
      <c r="M67" s="181" t="n">
        <v>0.44895448</v>
      </c>
      <c r="N67" s="181" t="n">
        <v>1.75162211</v>
      </c>
    </row>
    <row r="68">
      <c r="A68" t="inlineStr">
        <is>
          <t xml:space="preserve">Micron Technology Inc </t>
        </is>
      </c>
      <c r="B68" t="inlineStr">
        <is>
          <t>MU</t>
        </is>
      </c>
      <c r="C68" s="4" t="n">
        <v>0.0202</v>
      </c>
      <c r="D68" s="2" t="inlineStr">
        <is>
          <t>QTUM</t>
        </is>
      </c>
      <c r="E68" t="inlineStr">
        <is>
          <t>IRA</t>
        </is>
      </c>
      <c r="G68" s="182" t="n">
        <v>698.74</v>
      </c>
      <c r="H68" s="183" t="n">
        <v>61450300</v>
      </c>
      <c r="I68" s="181" t="n">
        <v>0.02523698</v>
      </c>
      <c r="J68" s="181" t="n">
        <v>-0.08849699</v>
      </c>
      <c r="K68" s="181" t="n">
        <v>0.53545604</v>
      </c>
      <c r="L68" s="181" t="n">
        <v>6.09997452</v>
      </c>
      <c r="M68" s="181" t="n">
        <v>4.6161004</v>
      </c>
      <c r="N68" s="181" t="n">
        <v>7.83083375</v>
      </c>
    </row>
    <row r="69">
      <c r="A69" t="inlineStr">
        <is>
          <t xml:space="preserve">Nokia Oyj ADR </t>
        </is>
      </c>
      <c r="B69" t="inlineStr">
        <is>
          <t>NOK</t>
        </is>
      </c>
      <c r="C69" s="4" t="n">
        <v>0.0214</v>
      </c>
      <c r="D69" s="2" t="inlineStr">
        <is>
          <t>QTUM</t>
        </is>
      </c>
      <c r="E69" t="inlineStr">
        <is>
          <t>IRA</t>
        </is>
      </c>
      <c r="G69" s="182" t="n">
        <v>13.67</v>
      </c>
      <c r="H69" s="183" t="n">
        <v>82194000</v>
      </c>
      <c r="I69" s="181" t="n">
        <v>-0.00509459</v>
      </c>
      <c r="J69" s="181" t="n">
        <v>0.03796507</v>
      </c>
      <c r="K69" s="181" t="n">
        <v>0.32589714</v>
      </c>
      <c r="L69" s="181" t="n">
        <v>1.63788215</v>
      </c>
      <c r="M69" s="181" t="n">
        <v>2.64782652</v>
      </c>
      <c r="N69" s="181" t="n">
        <v>1.9549765</v>
      </c>
    </row>
    <row r="70">
      <c r="A70" t="inlineStr">
        <is>
          <t xml:space="preserve">STMicroelectronics NV ADR </t>
        </is>
      </c>
      <c r="B70" t="inlineStr">
        <is>
          <t>STM</t>
        </is>
      </c>
      <c r="C70" s="4" t="n">
        <v>0.0216</v>
      </c>
      <c r="D70" s="2" t="inlineStr">
        <is>
          <t>QTUM</t>
        </is>
      </c>
      <c r="E70" t="inlineStr">
        <is>
          <t>IRA</t>
        </is>
      </c>
      <c r="G70" s="182" t="n">
        <v>61.23</v>
      </c>
      <c r="H70" s="183" t="n">
        <v>10716400</v>
      </c>
      <c r="I70" s="181" t="n">
        <v>0.00442914</v>
      </c>
      <c r="J70" s="181" t="n">
        <v>0.05696529</v>
      </c>
      <c r="K70" s="181" t="n">
        <v>0.38466752</v>
      </c>
      <c r="L70" s="181" t="n">
        <v>1.40034572</v>
      </c>
      <c r="M70" s="181" t="n">
        <v>0.5079717</v>
      </c>
      <c r="N70" s="181" t="n">
        <v>0.76566413</v>
      </c>
    </row>
    <row r="71">
      <c r="A71" t="inlineStr">
        <is>
          <t xml:space="preserve">Intel Corp </t>
        </is>
      </c>
      <c r="B71" t="inlineStr">
        <is>
          <t>INTC</t>
        </is>
      </c>
      <c r="C71" s="4" t="n">
        <v>0.0239</v>
      </c>
      <c r="D71" s="2" t="inlineStr">
        <is>
          <t>QTUM</t>
        </is>
      </c>
      <c r="E71" t="inlineStr">
        <is>
          <t>IRA</t>
        </is>
      </c>
      <c r="G71" s="182" t="n">
        <v>110.8</v>
      </c>
      <c r="H71" s="183" t="n">
        <v>149436900</v>
      </c>
      <c r="I71" s="181" t="n">
        <v>0.02431363</v>
      </c>
      <c r="J71" s="181" t="n">
        <v>-0.08133652</v>
      </c>
      <c r="K71" s="181" t="n">
        <v>0.61751829</v>
      </c>
      <c r="L71" s="181" t="n">
        <v>4.18241382</v>
      </c>
      <c r="M71" s="181" t="n">
        <v>2.50307486</v>
      </c>
      <c r="N71" s="181" t="n">
        <v>1.1640348</v>
      </c>
    </row>
    <row r="72">
      <c r="A72" t="inlineStr">
        <is>
          <t>Other</t>
        </is>
      </c>
      <c r="B72" t="inlineStr">
        <is>
          <t>OTH</t>
        </is>
      </c>
      <c r="C72" s="4">
        <f>100%-(SUM(C64:C71))</f>
        <v/>
      </c>
      <c r="D72" s="2" t="inlineStr">
        <is>
          <t>QTUM</t>
        </is>
      </c>
      <c r="E72" t="inlineStr">
        <is>
          <t>IRA</t>
        </is>
      </c>
      <c r="G72" s="182">
        <f>IF($B72="","",IFERROR(XLOOKUP($B72,'Daily Update'!$A:$A,'Daily Update'!$C:$C),""))</f>
        <v/>
      </c>
      <c r="H72" s="183">
        <f>IF($B72="","",IFERROR(XLOOKUP($B72,'Daily Update'!$A:$A,'Daily Update'!$D:$D),""))</f>
        <v/>
      </c>
      <c r="I72" s="181">
        <f>IF($B72="","",IFERROR(XLOOKUP($B72,'Daily Update'!$A:$A,'Daily Update'!$E:$E),""))</f>
        <v/>
      </c>
      <c r="J72" s="181">
        <f>IF($B72="","",IFERROR(XLOOKUP($B72,'Daily Update'!$A:$A,'Daily Update'!$F:$F),""))</f>
        <v/>
      </c>
      <c r="K72" s="181">
        <f>IF($B72="","",IFERROR(XLOOKUP($B72,'Daily Update'!$A:$A,'Daily Update'!$G:$G),""))</f>
        <v/>
      </c>
      <c r="L72" s="181">
        <f>IF($B72="","",IFERROR(XLOOKUP($B72,'Daily Update'!$A:$A,'Daily Update'!$H:$H),""))</f>
        <v/>
      </c>
      <c r="M72" s="181">
        <f>IF($B72="","",IFERROR(XLOOKUP($B72,'Daily Update'!$A:$A,'Daily Update'!$I:$I),""))</f>
        <v/>
      </c>
      <c r="N72" s="181">
        <f>IF($B72="","",IFERROR(XLOOKUP($B72,'Daily Update'!$A:$A,'Daily Update'!$J:$J),""))</f>
        <v/>
      </c>
    </row>
    <row r="73">
      <c r="D73" s="2" t="n"/>
      <c r="G73" s="182">
        <f>IF($B73="","",IFERROR(XLOOKUP($B73,'Daily Update'!$A:$A,'Daily Update'!$C:$C),""))</f>
        <v/>
      </c>
      <c r="H73" s="183">
        <f>IF($B73="","",IFERROR(XLOOKUP($B73,'Daily Update'!$A:$A,'Daily Update'!$D:$D),""))</f>
        <v/>
      </c>
      <c r="I73" s="181">
        <f>IF($B73="","",IFERROR(XLOOKUP($B73,'Daily Update'!$A:$A,'Daily Update'!$E:$E),""))</f>
        <v/>
      </c>
      <c r="J73" s="181">
        <f>IF($B73="","",IFERROR(XLOOKUP($B73,'Daily Update'!$A:$A,'Daily Update'!$F:$F),""))</f>
        <v/>
      </c>
      <c r="K73" s="181">
        <f>IF($B73="","",IFERROR(XLOOKUP($B73,'Daily Update'!$A:$A,'Daily Update'!$G:$G),""))</f>
        <v/>
      </c>
      <c r="L73" s="181">
        <f>IF($B73="","",IFERROR(XLOOKUP($B73,'Daily Update'!$A:$A,'Daily Update'!$H:$H),""))</f>
        <v/>
      </c>
      <c r="M73" s="181">
        <f>IF($B73="","",IFERROR(XLOOKUP($B73,'Daily Update'!$A:$A,'Daily Update'!$I:$I),""))</f>
        <v/>
      </c>
      <c r="N73" s="181">
        <f>IF($B73="","",IFERROR(XLOOKUP($B73,'Daily Update'!$A:$A,'Daily Update'!$J:$J),""))</f>
        <v/>
      </c>
    </row>
    <row r="74">
      <c r="A74" s="38" t="inlineStr">
        <is>
          <t>SCHWAB STRATEGIC TR US DIVIDEND EQUITY ETF</t>
        </is>
      </c>
      <c r="B74" s="8" t="inlineStr">
        <is>
          <t>SCHD</t>
        </is>
      </c>
      <c r="C74" s="7">
        <f>SUM(C75:C85)</f>
        <v/>
      </c>
      <c r="D74" s="8" t="inlineStr">
        <is>
          <t>SCHD</t>
        </is>
      </c>
      <c r="E74" s="38" t="inlineStr">
        <is>
          <t>IRA</t>
        </is>
      </c>
      <c r="F74" s="38" t="n"/>
      <c r="G74" s="182" t="n">
        <v>32.1</v>
      </c>
      <c r="H74" s="183" t="n">
        <v>18035400</v>
      </c>
      <c r="I74" s="181" t="n">
        <v>0.00187258</v>
      </c>
      <c r="J74" s="181" t="n">
        <v>0.01070523</v>
      </c>
      <c r="K74" s="181" t="n">
        <v>0.0338164</v>
      </c>
      <c r="L74" s="181" t="n">
        <v>0.25432877</v>
      </c>
      <c r="M74" s="181" t="n">
        <v>0.29702091</v>
      </c>
      <c r="N74" s="181" t="n">
        <v>0.49969627</v>
      </c>
    </row>
    <row r="75">
      <c r="A75" t="inlineStr">
        <is>
          <t xml:space="preserve">Verizon Communications Inc </t>
        </is>
      </c>
      <c r="B75" t="inlineStr">
        <is>
          <t>VZ</t>
        </is>
      </c>
      <c r="C75" s="4" t="n">
        <v>0.0366</v>
      </c>
      <c r="D75" s="2" t="inlineStr">
        <is>
          <t>SCHD</t>
        </is>
      </c>
      <c r="E75" t="inlineStr">
        <is>
          <t>IRA</t>
        </is>
      </c>
      <c r="G75" s="182" t="n">
        <v>47.74</v>
      </c>
      <c r="H75" s="183" t="n">
        <v>24582600</v>
      </c>
      <c r="I75" s="181" t="n">
        <v>0.02095816</v>
      </c>
      <c r="J75" s="181" t="n">
        <v>-0.00396409</v>
      </c>
      <c r="K75" s="181" t="n">
        <v>0.02556396</v>
      </c>
      <c r="L75" s="181" t="n">
        <v>0.15001212</v>
      </c>
      <c r="M75" s="181" t="n">
        <v>0.35774616</v>
      </c>
      <c r="N75" s="181" t="n">
        <v>0.1465749</v>
      </c>
    </row>
    <row r="76">
      <c r="A76" t="inlineStr">
        <is>
          <t xml:space="preserve">Merck &amp; Co Inc </t>
        </is>
      </c>
      <c r="B76" t="inlineStr">
        <is>
          <t>MRK</t>
        </is>
      </c>
      <c r="C76" s="4" t="n">
        <v>0.0371</v>
      </c>
      <c r="D76" s="2" t="inlineStr">
        <is>
          <t>SCHD</t>
        </is>
      </c>
      <c r="E76" t="inlineStr">
        <is>
          <t>IRA</t>
        </is>
      </c>
      <c r="G76" s="182" t="n">
        <v>114.24</v>
      </c>
      <c r="H76" s="183" t="n">
        <v>5209075</v>
      </c>
      <c r="I76" s="181" t="n">
        <v>0.01492538</v>
      </c>
      <c r="J76" s="181" t="n">
        <v>0.01664141</v>
      </c>
      <c r="K76" s="181" t="n">
        <v>-0.04056439</v>
      </c>
      <c r="L76" s="181" t="n">
        <v>0.53295277</v>
      </c>
      <c r="M76" s="181" t="n">
        <v>-0.07082237</v>
      </c>
      <c r="N76" s="181" t="n">
        <v>0.7590783</v>
      </c>
    </row>
    <row r="77">
      <c r="A77" t="inlineStr">
        <is>
          <t xml:space="preserve">Procter &amp; Gamble Co </t>
        </is>
      </c>
      <c r="B77" t="inlineStr">
        <is>
          <t>PG</t>
        </is>
      </c>
      <c r="C77" s="4" t="n">
        <v>0.0372</v>
      </c>
      <c r="D77" s="2" t="inlineStr">
        <is>
          <t>SCHD</t>
        </is>
      </c>
      <c r="E77" t="inlineStr">
        <is>
          <t>IRA</t>
        </is>
      </c>
      <c r="G77" s="182" t="n">
        <v>141.3</v>
      </c>
      <c r="H77" s="183" t="n">
        <v>4715632</v>
      </c>
      <c r="I77" s="181" t="n">
        <v>-0.00765501</v>
      </c>
      <c r="J77" s="181" t="n">
        <v>-0.01813634</v>
      </c>
      <c r="K77" s="181" t="n">
        <v>-0.03107603</v>
      </c>
      <c r="L77" s="181" t="n">
        <v>-0.11777187</v>
      </c>
      <c r="M77" s="181" t="n">
        <v>-0.11167802</v>
      </c>
      <c r="N77" s="181" t="n">
        <v>0.16290085</v>
      </c>
    </row>
    <row r="78">
      <c r="A78" t="inlineStr">
        <is>
          <t xml:space="preserve">PepsiCo Inc </t>
        </is>
      </c>
      <c r="B78" t="inlineStr">
        <is>
          <t>PEP</t>
        </is>
      </c>
      <c r="C78" s="4" t="n">
        <v>0.0381</v>
      </c>
      <c r="D78" s="2" t="inlineStr">
        <is>
          <t>SCHD</t>
        </is>
      </c>
      <c r="E78" t="inlineStr">
        <is>
          <t>IRA</t>
        </is>
      </c>
      <c r="G78" s="182" t="n">
        <v>150.37</v>
      </c>
      <c r="H78" s="183" t="n">
        <v>10091200</v>
      </c>
      <c r="I78" s="181" t="n">
        <v>0.00878839</v>
      </c>
      <c r="J78" s="181" t="n">
        <v>-0.00974653</v>
      </c>
      <c r="K78" s="181" t="n">
        <v>-0.04629925</v>
      </c>
      <c r="L78" s="181" t="n">
        <v>0.18668612</v>
      </c>
      <c r="M78" s="181" t="n">
        <v>-0.11303928</v>
      </c>
      <c r="N78" s="181" t="n">
        <v>0.19273985</v>
      </c>
    </row>
    <row r="79">
      <c r="A79" t="inlineStr">
        <is>
          <t xml:space="preserve">Coca-Cola Co </t>
        </is>
      </c>
      <c r="B79" t="inlineStr">
        <is>
          <t>KO</t>
        </is>
      </c>
      <c r="C79" s="4" t="n">
        <v>0.0406</v>
      </c>
      <c r="D79" s="2" t="inlineStr">
        <is>
          <t>SCHD</t>
        </is>
      </c>
      <c r="E79" t="inlineStr">
        <is>
          <t>IRA</t>
        </is>
      </c>
      <c r="G79" s="182" t="n">
        <v>81.92</v>
      </c>
      <c r="H79" s="183" t="n">
        <v>16586904</v>
      </c>
      <c r="I79" s="181" t="n">
        <v>0.00886701</v>
      </c>
      <c r="J79" s="181" t="n">
        <v>0.02361614</v>
      </c>
      <c r="K79" s="181" t="n">
        <v>0.08159494</v>
      </c>
      <c r="L79" s="181" t="n">
        <v>0.17189977</v>
      </c>
      <c r="M79" s="181" t="n">
        <v>0.37737433</v>
      </c>
      <c r="N79" s="181" t="n">
        <v>0.73980952</v>
      </c>
    </row>
    <row r="80">
      <c r="A80" t="inlineStr">
        <is>
          <t xml:space="preserve">ConocoPhillips </t>
        </is>
      </c>
      <c r="B80" t="inlineStr">
        <is>
          <t>COP</t>
        </is>
      </c>
      <c r="C80" s="4" t="n">
        <v>0.0407</v>
      </c>
      <c r="D80" s="2" t="inlineStr">
        <is>
          <t>SCHD</t>
        </is>
      </c>
      <c r="E80" t="inlineStr">
        <is>
          <t>IRA</t>
        </is>
      </c>
      <c r="G80" s="182" t="n">
        <v>125.11</v>
      </c>
      <c r="H80" s="183" t="n">
        <v>6026700</v>
      </c>
      <c r="I80" s="181" t="n">
        <v>0.00457684</v>
      </c>
      <c r="J80" s="181" t="n">
        <v>0.06142358</v>
      </c>
      <c r="K80" s="181" t="n">
        <v>0.08617526</v>
      </c>
      <c r="L80" s="181" t="n">
        <v>0.42967363</v>
      </c>
      <c r="M80" s="181" t="n">
        <v>0.09514642</v>
      </c>
      <c r="N80" s="181" t="n">
        <v>1.69957536</v>
      </c>
    </row>
    <row r="81">
      <c r="A81" t="inlineStr">
        <is>
          <t xml:space="preserve">Chevron Corp </t>
        </is>
      </c>
      <c r="B81" t="inlineStr">
        <is>
          <t>CVX</t>
        </is>
      </c>
      <c r="C81" s="4" t="n">
        <v>0.0416</v>
      </c>
      <c r="D81" s="2" t="inlineStr">
        <is>
          <t>SCHD</t>
        </is>
      </c>
      <c r="E81" t="inlineStr">
        <is>
          <t>IRA</t>
        </is>
      </c>
      <c r="G81" s="182" t="n">
        <v>197.25</v>
      </c>
      <c r="H81" s="183" t="n">
        <v>11811800</v>
      </c>
      <c r="I81" s="181" t="n">
        <v>0.0057618</v>
      </c>
      <c r="J81" s="181" t="n">
        <v>0.06076904</v>
      </c>
      <c r="K81" s="181" t="n">
        <v>0.0720691</v>
      </c>
      <c r="L81" s="181" t="n">
        <v>0.47047527</v>
      </c>
      <c r="M81" s="181" t="n">
        <v>0.30875537</v>
      </c>
      <c r="N81" s="181" t="n">
        <v>1.31719993</v>
      </c>
    </row>
    <row r="82">
      <c r="A82" t="inlineStr">
        <is>
          <t xml:space="preserve">Qualcomm Inc </t>
        </is>
      </c>
      <c r="B82" t="inlineStr">
        <is>
          <t>QCOM</t>
        </is>
      </c>
      <c r="C82" s="4" t="n">
        <v>0.0431</v>
      </c>
      <c r="D82" s="2" t="inlineStr">
        <is>
          <t>SCHD</t>
        </is>
      </c>
      <c r="E82" t="inlineStr">
        <is>
          <t>IRA</t>
        </is>
      </c>
      <c r="G82" s="182" t="n">
        <v>195.61</v>
      </c>
      <c r="H82" s="183" t="n">
        <v>19576900</v>
      </c>
      <c r="I82" s="181" t="n">
        <v>-0.03943233</v>
      </c>
      <c r="J82" s="181" t="n">
        <v>-0.06989681</v>
      </c>
      <c r="K82" s="181" t="n">
        <v>0.43619681</v>
      </c>
      <c r="L82" s="181" t="n">
        <v>0.30249367</v>
      </c>
      <c r="M82" s="181" t="n">
        <v>0.05336134</v>
      </c>
      <c r="N82" s="181" t="n">
        <v>0.64514805</v>
      </c>
    </row>
    <row r="83">
      <c r="A83" t="inlineStr">
        <is>
          <t xml:space="preserve">UnitedHealth Group Inc </t>
        </is>
      </c>
      <c r="B83" t="inlineStr">
        <is>
          <t>UNH</t>
        </is>
      </c>
      <c r="C83" s="4" t="n">
        <v>0.0511</v>
      </c>
      <c r="D83" s="2" t="inlineStr">
        <is>
          <t>SCHD</t>
        </is>
      </c>
      <c r="E83" t="inlineStr">
        <is>
          <t>IRA</t>
        </is>
      </c>
      <c r="G83" s="182" t="n">
        <v>389.24</v>
      </c>
      <c r="H83" s="183" t="n">
        <v>5007700</v>
      </c>
      <c r="I83" s="181" t="n">
        <v>-0.00483219</v>
      </c>
      <c r="J83" s="181" t="n">
        <v>-0.01803785</v>
      </c>
      <c r="K83" s="181" t="n">
        <v>0.19902654</v>
      </c>
      <c r="L83" s="181" t="n">
        <v>0.26694696</v>
      </c>
      <c r="M83" s="181" t="n">
        <v>-0.22494655</v>
      </c>
      <c r="N83" s="181" t="n">
        <v>0.037749</v>
      </c>
    </row>
    <row r="84">
      <c r="A84" t="inlineStr">
        <is>
          <t xml:space="preserve">Texas Instruments Inc </t>
        </is>
      </c>
      <c r="B84" t="inlineStr">
        <is>
          <t>TXN</t>
        </is>
      </c>
      <c r="C84" s="4" t="n">
        <v>0.0535</v>
      </c>
      <c r="D84" s="2" t="inlineStr">
        <is>
          <t>SCHD</t>
        </is>
      </c>
      <c r="E84" t="inlineStr">
        <is>
          <t>IRA</t>
        </is>
      </c>
      <c r="G84" s="182" t="n">
        <v>302.31</v>
      </c>
      <c r="H84" s="183" t="n">
        <v>7295000</v>
      </c>
      <c r="I84" s="181" t="n">
        <v>0.00568859</v>
      </c>
      <c r="J84" s="181" t="n">
        <v>0.0241894</v>
      </c>
      <c r="K84" s="181" t="n">
        <v>0.32210441</v>
      </c>
      <c r="L84" s="181" t="n">
        <v>0.65015058</v>
      </c>
      <c r="M84" s="181" t="n">
        <v>0.64037904</v>
      </c>
      <c r="N84" s="181" t="n">
        <v>0.88057441</v>
      </c>
    </row>
    <row r="85">
      <c r="A85" t="inlineStr">
        <is>
          <t>Other</t>
        </is>
      </c>
      <c r="B85" t="inlineStr">
        <is>
          <t>OTH</t>
        </is>
      </c>
      <c r="C85" s="4">
        <f>100%-(SUM(C75:C84))</f>
        <v/>
      </c>
      <c r="D85" s="2" t="inlineStr">
        <is>
          <t>SCHD</t>
        </is>
      </c>
      <c r="E85" t="inlineStr">
        <is>
          <t>IRA</t>
        </is>
      </c>
      <c r="G85" s="182">
        <f>IF($B85="","",IFERROR(XLOOKUP($B85,'Daily Update'!$A:$A,'Daily Update'!$C:$C),""))</f>
        <v/>
      </c>
      <c r="H85" s="183">
        <f>IF($B85="","",IFERROR(XLOOKUP($B85,'Daily Update'!$A:$A,'Daily Update'!$D:$D),""))</f>
        <v/>
      </c>
      <c r="I85" s="181">
        <f>IF($B85="","",IFERROR(XLOOKUP($B85,'Daily Update'!$A:$A,'Daily Update'!$E:$E),""))</f>
        <v/>
      </c>
      <c r="J85" s="181">
        <f>IF($B85="","",IFERROR(XLOOKUP($B85,'Daily Update'!$A:$A,'Daily Update'!$F:$F),""))</f>
        <v/>
      </c>
      <c r="K85" s="181">
        <f>IF($B85="","",IFERROR(XLOOKUP($B85,'Daily Update'!$A:$A,'Daily Update'!$G:$G),""))</f>
        <v/>
      </c>
      <c r="L85" s="181">
        <f>IF($B85="","",IFERROR(XLOOKUP($B85,'Daily Update'!$A:$A,'Daily Update'!$H:$H),""))</f>
        <v/>
      </c>
      <c r="M85" s="181">
        <f>IF($B85="","",IFERROR(XLOOKUP($B85,'Daily Update'!$A:$A,'Daily Update'!$I:$I),""))</f>
        <v/>
      </c>
      <c r="N85" s="181">
        <f>IF($B85="","",IFERROR(XLOOKUP($B85,'Daily Update'!$A:$A,'Daily Update'!$J:$J),""))</f>
        <v/>
      </c>
    </row>
    <row r="86">
      <c r="G86" s="182">
        <f>IF($B86="","",IFERROR(XLOOKUP($B86,'Daily Update'!$A:$A,'Daily Update'!$C:$C),""))</f>
        <v/>
      </c>
      <c r="H86" s="183">
        <f>IF($B86="","",IFERROR(XLOOKUP($B86,'Daily Update'!$A:$A,'Daily Update'!$D:$D),""))</f>
        <v/>
      </c>
      <c r="I86" s="181">
        <f>IF($B86="","",IFERROR(XLOOKUP($B86,'Daily Update'!$A:$A,'Daily Update'!$E:$E),""))</f>
        <v/>
      </c>
      <c r="J86" s="181">
        <f>IF($B86="","",IFERROR(XLOOKUP($B86,'Daily Update'!$A:$A,'Daily Update'!$F:$F),""))</f>
        <v/>
      </c>
      <c r="K86" s="181">
        <f>IF($B86="","",IFERROR(XLOOKUP($B86,'Daily Update'!$A:$A,'Daily Update'!$G:$G),""))</f>
        <v/>
      </c>
      <c r="L86" s="181">
        <f>IF($B86="","",IFERROR(XLOOKUP($B86,'Daily Update'!$A:$A,'Daily Update'!$H:$H),""))</f>
        <v/>
      </c>
      <c r="M86" s="181">
        <f>IF($B86="","",IFERROR(XLOOKUP($B86,'Daily Update'!$A:$A,'Daily Update'!$I:$I),""))</f>
        <v/>
      </c>
      <c r="N86" s="181">
        <f>IF($B86="","",IFERROR(XLOOKUP($B86,'Daily Update'!$A:$A,'Daily Update'!$J:$J),""))</f>
        <v/>
      </c>
    </row>
    <row r="87">
      <c r="A87" s="38" t="inlineStr">
        <is>
          <t>INVESCO EXCHANGE TRADED FD TR II S&amp;P 500 MOMENTUM ETF</t>
        </is>
      </c>
      <c r="B87" s="8" t="inlineStr">
        <is>
          <t>SPMO</t>
        </is>
      </c>
      <c r="C87" s="7">
        <f>SUM(C88:C98)</f>
        <v/>
      </c>
      <c r="D87" s="8" t="inlineStr">
        <is>
          <t>SPMO</t>
        </is>
      </c>
      <c r="E87" s="38" t="inlineStr">
        <is>
          <t>IRA</t>
        </is>
      </c>
      <c r="F87" s="38" t="n"/>
      <c r="G87" s="182" t="n">
        <v>140.63</v>
      </c>
      <c r="H87" s="183" t="n">
        <v>2165600</v>
      </c>
      <c r="I87" s="181" t="n">
        <v>-0.00558615</v>
      </c>
      <c r="J87" s="181" t="n">
        <v>-0.02644508</v>
      </c>
      <c r="K87" s="181" t="n">
        <v>0.0961029</v>
      </c>
      <c r="L87" s="181" t="n">
        <v>0.34798128</v>
      </c>
      <c r="M87" s="181" t="n">
        <v>0.7666129699999999</v>
      </c>
      <c r="N87" s="181" t="n">
        <v>1.74002738</v>
      </c>
    </row>
    <row r="88">
      <c r="A88" t="inlineStr">
        <is>
          <t xml:space="preserve">Caterpillar Inc </t>
        </is>
      </c>
      <c r="B88" t="inlineStr">
        <is>
          <t>CAT</t>
        </is>
      </c>
      <c r="C88" s="4" t="n">
        <v>0.0297</v>
      </c>
      <c r="D88" s="2" t="inlineStr">
        <is>
          <t>SPMO</t>
        </is>
      </c>
      <c r="E88" t="inlineStr">
        <is>
          <t>IRA</t>
        </is>
      </c>
      <c r="G88" s="182" t="n">
        <v>860.15</v>
      </c>
      <c r="H88" s="183" t="n">
        <v>3238900</v>
      </c>
      <c r="I88" s="181" t="n">
        <v>-0.00439839</v>
      </c>
      <c r="J88" s="181" t="n">
        <v>-0.05699782</v>
      </c>
      <c r="K88" s="181" t="n">
        <v>0.08448699</v>
      </c>
      <c r="L88" s="181" t="n">
        <v>1.46606084</v>
      </c>
      <c r="M88" s="181" t="n">
        <v>1.48009231</v>
      </c>
      <c r="N88" s="181" t="n">
        <v>3.00306549</v>
      </c>
    </row>
    <row r="89">
      <c r="A89" t="inlineStr">
        <is>
          <t xml:space="preserve">Advanced Micro Devices Inc </t>
        </is>
      </c>
      <c r="B89" t="inlineStr">
        <is>
          <t>AMD</t>
        </is>
      </c>
      <c r="C89" s="4" t="n">
        <v>0.032</v>
      </c>
      <c r="D89" s="2" t="inlineStr">
        <is>
          <t>SPMO</t>
        </is>
      </c>
      <c r="E89" t="inlineStr">
        <is>
          <t>IRA</t>
        </is>
      </c>
      <c r="G89" s="182" t="n">
        <v>414.05</v>
      </c>
      <c r="H89" s="183" t="n">
        <v>38637700</v>
      </c>
      <c r="I89" s="181" t="n">
        <v>-0.01648496</v>
      </c>
      <c r="J89" s="181" t="n">
        <v>-0.07637917</v>
      </c>
      <c r="K89" s="181" t="n">
        <v>0.48730186</v>
      </c>
      <c r="L89" s="181" t="n">
        <v>2.6085933</v>
      </c>
      <c r="M89" s="181" t="n">
        <v>1.5174803</v>
      </c>
      <c r="N89" s="181" t="n">
        <v>4.30425315</v>
      </c>
    </row>
    <row r="90">
      <c r="A90" t="inlineStr">
        <is>
          <t xml:space="preserve">Lam Research Corp </t>
        </is>
      </c>
      <c r="B90" t="inlineStr">
        <is>
          <t>LRCX</t>
        </is>
      </c>
      <c r="C90" s="4" t="n">
        <v>0.0322</v>
      </c>
      <c r="D90" s="2" t="inlineStr">
        <is>
          <t>SPMO</t>
        </is>
      </c>
      <c r="E90" t="inlineStr">
        <is>
          <t>IRA</t>
        </is>
      </c>
      <c r="G90" s="182" t="n">
        <v>273.38</v>
      </c>
      <c r="H90" s="183" t="n">
        <v>8303700</v>
      </c>
      <c r="I90" s="181" t="n">
        <v>-0.01647714</v>
      </c>
      <c r="J90" s="181" t="n">
        <v>-0.05483331</v>
      </c>
      <c r="K90" s="181" t="n">
        <v>0.0215994</v>
      </c>
      <c r="L90" s="181" t="n">
        <v>2.28540987</v>
      </c>
      <c r="M90" s="181" t="n">
        <v>2.05266772</v>
      </c>
      <c r="N90" s="181" t="n">
        <v>3.60109692</v>
      </c>
    </row>
    <row r="91">
      <c r="A91" t="inlineStr">
        <is>
          <t xml:space="preserve">Exxon Mobil Corp </t>
        </is>
      </c>
      <c r="B91" t="inlineStr">
        <is>
          <t>XOM</t>
        </is>
      </c>
      <c r="C91" s="4" t="n">
        <v>0.0332</v>
      </c>
      <c r="D91" s="2" t="inlineStr">
        <is>
          <t>SPMO</t>
        </is>
      </c>
      <c r="E91" t="inlineStr">
        <is>
          <t>IRA</t>
        </is>
      </c>
      <c r="G91" s="182" t="n">
        <v>162.55</v>
      </c>
      <c r="H91" s="183" t="n">
        <v>20706800</v>
      </c>
      <c r="I91" s="181" t="n">
        <v>0.01283568</v>
      </c>
      <c r="J91" s="181" t="n">
        <v>0.08645886999999999</v>
      </c>
      <c r="K91" s="181" t="n">
        <v>0.11754512</v>
      </c>
      <c r="L91" s="181" t="n">
        <v>0.57538721</v>
      </c>
      <c r="M91" s="181" t="n">
        <v>0.45085385</v>
      </c>
      <c r="N91" s="181" t="n">
        <v>2.32013544</v>
      </c>
    </row>
    <row r="92">
      <c r="A92" t="inlineStr">
        <is>
          <t xml:space="preserve">Alphabet Inc Class C </t>
        </is>
      </c>
      <c r="B92" t="inlineStr">
        <is>
          <t>GOOG</t>
        </is>
      </c>
      <c r="C92" s="4" t="n">
        <v>0.0435</v>
      </c>
      <c r="D92" s="2" t="inlineStr">
        <is>
          <t>SPMO</t>
        </is>
      </c>
      <c r="E92" t="inlineStr">
        <is>
          <t>IRA</t>
        </is>
      </c>
      <c r="G92" s="182" t="n">
        <v>384.9</v>
      </c>
      <c r="H92" s="183" t="n">
        <v>25497700</v>
      </c>
      <c r="I92" s="181" t="n">
        <v>-0.02088472</v>
      </c>
      <c r="J92" s="181" t="n">
        <v>0.00281378</v>
      </c>
      <c r="K92" s="181" t="n">
        <v>0.13406011</v>
      </c>
      <c r="L92" s="181" t="n">
        <v>1.30077221</v>
      </c>
      <c r="M92" s="181" t="n">
        <v>1.18884331</v>
      </c>
      <c r="N92" s="181" t="n">
        <v>2.2941019</v>
      </c>
    </row>
    <row r="93">
      <c r="A93" t="inlineStr">
        <is>
          <t xml:space="preserve">Johnson &amp; Johnson </t>
        </is>
      </c>
      <c r="B93" t="inlineStr">
        <is>
          <t>JNJ</t>
        </is>
      </c>
      <c r="C93" s="4" t="n">
        <v>0.0442</v>
      </c>
      <c r="D93" s="2" t="inlineStr">
        <is>
          <t>SPMO</t>
        </is>
      </c>
      <c r="E93" t="inlineStr">
        <is>
          <t>IRA</t>
        </is>
      </c>
      <c r="G93" s="182" t="n">
        <v>230</v>
      </c>
      <c r="H93" s="183" t="n">
        <v>6002888</v>
      </c>
      <c r="I93" s="181" t="n">
        <v>0.00471781</v>
      </c>
      <c r="J93" s="181" t="n">
        <v>0.02559532</v>
      </c>
      <c r="K93" s="181" t="n">
        <v>-0.01784949</v>
      </c>
      <c r="L93" s="181" t="n">
        <v>0.5503196</v>
      </c>
      <c r="M93" s="181" t="n">
        <v>0.57780938</v>
      </c>
      <c r="N93" s="181" t="n">
        <v>0.54825663</v>
      </c>
    </row>
    <row r="94">
      <c r="A94" t="inlineStr">
        <is>
          <t xml:space="preserve">Alphabet Inc Class A </t>
        </is>
      </c>
      <c r="B94" t="inlineStr">
        <is>
          <t>GOOGL</t>
        </is>
      </c>
      <c r="C94" s="4" t="n">
        <v>0.0547</v>
      </c>
      <c r="D94" s="2" t="inlineStr">
        <is>
          <t>SPMO</t>
        </is>
      </c>
      <c r="E94" t="inlineStr">
        <is>
          <t>IRA</t>
        </is>
      </c>
      <c r="G94" s="182" t="n">
        <v>387.66</v>
      </c>
      <c r="H94" s="183" t="n">
        <v>39458400</v>
      </c>
      <c r="I94" s="181" t="n">
        <v>-0.02337884</v>
      </c>
      <c r="J94" s="181" t="n">
        <v>0.0008003</v>
      </c>
      <c r="K94" s="181" t="n">
        <v>0.13457039</v>
      </c>
      <c r="L94" s="181" t="n">
        <v>1.33580064</v>
      </c>
      <c r="M94" s="181" t="n">
        <v>1.22006163</v>
      </c>
      <c r="N94" s="181" t="n">
        <v>2.38857827</v>
      </c>
    </row>
    <row r="95">
      <c r="A95" t="inlineStr">
        <is>
          <t xml:space="preserve">Micron Technology Inc </t>
        </is>
      </c>
      <c r="B95" t="inlineStr">
        <is>
          <t>MU</t>
        </is>
      </c>
      <c r="C95" s="4" t="n">
        <v>0.06419999999999999</v>
      </c>
      <c r="D95" s="2" t="inlineStr">
        <is>
          <t>SPMO</t>
        </is>
      </c>
      <c r="E95" t="inlineStr">
        <is>
          <t>IRA</t>
        </is>
      </c>
      <c r="G95" s="182" t="n">
        <v>698.74</v>
      </c>
      <c r="H95" s="183" t="n">
        <v>61450300</v>
      </c>
      <c r="I95" s="181" t="n">
        <v>0.02523698</v>
      </c>
      <c r="J95" s="181" t="n">
        <v>-0.08849699</v>
      </c>
      <c r="K95" s="181" t="n">
        <v>0.53545604</v>
      </c>
      <c r="L95" s="181" t="n">
        <v>6.09997452</v>
      </c>
      <c r="M95" s="181" t="n">
        <v>4.6161004</v>
      </c>
      <c r="N95" s="181" t="n">
        <v>7.83083375</v>
      </c>
    </row>
    <row r="96">
      <c r="A96" t="inlineStr">
        <is>
          <t xml:space="preserve">Broadcom Inc </t>
        </is>
      </c>
      <c r="B96" t="inlineStr">
        <is>
          <t>AVGO</t>
        </is>
      </c>
      <c r="C96" s="4" t="n">
        <v>0.0796</v>
      </c>
      <c r="D96" s="2" t="inlineStr">
        <is>
          <t>SPMO</t>
        </is>
      </c>
      <c r="E96" t="inlineStr">
        <is>
          <t>IRA</t>
        </is>
      </c>
      <c r="G96" s="182" t="n">
        <v>411.07</v>
      </c>
      <c r="H96" s="183" t="n">
        <v>20620900</v>
      </c>
      <c r="I96" s="181" t="n">
        <v>-0.02291361</v>
      </c>
      <c r="J96" s="181" t="n">
        <v>-0.01962791</v>
      </c>
      <c r="K96" s="181" t="n">
        <v>0.01114281</v>
      </c>
      <c r="L96" s="181" t="n">
        <v>0.7968204800000001</v>
      </c>
      <c r="M96" s="181" t="n">
        <v>2.00630568</v>
      </c>
      <c r="N96" s="181" t="n">
        <v>8.985732649999999</v>
      </c>
    </row>
    <row r="97">
      <c r="A97" t="inlineStr">
        <is>
          <t xml:space="preserve">NVIDIA Corp </t>
        </is>
      </c>
      <c r="B97" t="inlineStr">
        <is>
          <t>NVDA</t>
        </is>
      </c>
      <c r="C97" s="4" t="n">
        <v>0.08989999999999999</v>
      </c>
      <c r="D97" s="2" t="inlineStr">
        <is>
          <t>SPMO</t>
        </is>
      </c>
      <c r="E97" t="inlineStr">
        <is>
          <t>IRA</t>
        </is>
      </c>
      <c r="G97" s="182" t="n">
        <v>220.61</v>
      </c>
      <c r="H97" s="183" t="n">
        <v>140201600</v>
      </c>
      <c r="I97" s="181" t="n">
        <v>-0.00769165</v>
      </c>
      <c r="J97" s="181" t="n">
        <v>-0.00076999</v>
      </c>
      <c r="K97" s="181" t="n">
        <v>0.09386161</v>
      </c>
      <c r="L97" s="181" t="n">
        <v>0.62766095</v>
      </c>
      <c r="M97" s="181" t="n">
        <v>1.38686075</v>
      </c>
      <c r="N97" s="181" t="n">
        <v>14.1353981</v>
      </c>
    </row>
    <row r="98">
      <c r="A98" t="inlineStr">
        <is>
          <t>Other</t>
        </is>
      </c>
      <c r="B98" t="inlineStr">
        <is>
          <t>OTH</t>
        </is>
      </c>
      <c r="C98" s="4">
        <f>100%-(SUM(C88:C97))</f>
        <v/>
      </c>
      <c r="D98" s="2" t="inlineStr">
        <is>
          <t>SPMO</t>
        </is>
      </c>
      <c r="E98" t="inlineStr">
        <is>
          <t>IRA</t>
        </is>
      </c>
      <c r="G98" s="182">
        <f>IF($B98="","",IFERROR(XLOOKUP($B98,'Daily Update'!$A:$A,'Daily Update'!$C:$C),""))</f>
        <v/>
      </c>
      <c r="H98" s="183">
        <f>IF($B98="","",IFERROR(XLOOKUP($B98,'Daily Update'!$A:$A,'Daily Update'!$D:$D),""))</f>
        <v/>
      </c>
      <c r="I98" s="181">
        <f>IF($B98="","",IFERROR(XLOOKUP($B98,'Daily Update'!$A:$A,'Daily Update'!$E:$E),""))</f>
        <v/>
      </c>
      <c r="J98" s="181">
        <f>IF($B98="","",IFERROR(XLOOKUP($B98,'Daily Update'!$A:$A,'Daily Update'!$F:$F),""))</f>
        <v/>
      </c>
      <c r="K98" s="181">
        <f>IF($B98="","",IFERROR(XLOOKUP($B98,'Daily Update'!$A:$A,'Daily Update'!$G:$G),""))</f>
        <v/>
      </c>
      <c r="L98" s="181">
        <f>IF($B98="","",IFERROR(XLOOKUP($B98,'Daily Update'!$A:$A,'Daily Update'!$H:$H),""))</f>
        <v/>
      </c>
      <c r="M98" s="181">
        <f>IF($B98="","",IFERROR(XLOOKUP($B98,'Daily Update'!$A:$A,'Daily Update'!$I:$I),""))</f>
        <v/>
      </c>
      <c r="N98" s="181">
        <f>IF($B98="","",IFERROR(XLOOKUP($B98,'Daily Update'!$A:$A,'Daily Update'!$J:$J),""))</f>
        <v/>
      </c>
    </row>
    <row r="99">
      <c r="G99" s="182">
        <f>IF($B99="","",IFERROR(XLOOKUP($B99,'Daily Update'!$A:$A,'Daily Update'!$C:$C),""))</f>
        <v/>
      </c>
      <c r="H99" s="183">
        <f>IF($B99="","",IFERROR(XLOOKUP($B99,'Daily Update'!$A:$A,'Daily Update'!$D:$D),""))</f>
        <v/>
      </c>
      <c r="I99" s="181">
        <f>IF($B99="","",IFERROR(XLOOKUP($B99,'Daily Update'!$A:$A,'Daily Update'!$E:$E),""))</f>
        <v/>
      </c>
      <c r="J99" s="181">
        <f>IF($B99="","",IFERROR(XLOOKUP($B99,'Daily Update'!$A:$A,'Daily Update'!$F:$F),""))</f>
        <v/>
      </c>
      <c r="K99" s="181">
        <f>IF($B99="","",IFERROR(XLOOKUP($B99,'Daily Update'!$A:$A,'Daily Update'!$G:$G),""))</f>
        <v/>
      </c>
      <c r="L99" s="181">
        <f>IF($B99="","",IFERROR(XLOOKUP($B99,'Daily Update'!$A:$A,'Daily Update'!$H:$H),""))</f>
        <v/>
      </c>
      <c r="M99" s="181">
        <f>IF($B99="","",IFERROR(XLOOKUP($B99,'Daily Update'!$A:$A,'Daily Update'!$I:$I),""))</f>
        <v/>
      </c>
      <c r="N99" s="181">
        <f>IF($B99="","",IFERROR(XLOOKUP($B99,'Daily Update'!$A:$A,'Daily Update'!$J:$J),""))</f>
        <v/>
      </c>
    </row>
    <row r="100">
      <c r="A100" s="38" t="inlineStr">
        <is>
          <t>STATE STREET SPDR S&amp;P 500 ETF TRUST UNITS</t>
        </is>
      </c>
      <c r="B100" s="8" t="inlineStr">
        <is>
          <t>SPY</t>
        </is>
      </c>
      <c r="C100" s="7">
        <f>SUM(C101:C111)</f>
        <v/>
      </c>
      <c r="D100" s="8" t="inlineStr">
        <is>
          <t>SPY</t>
        </is>
      </c>
      <c r="E100" s="38" t="inlineStr">
        <is>
          <t>IRA</t>
        </is>
      </c>
      <c r="F100" s="38" t="n"/>
      <c r="G100" s="182" t="n">
        <v>733.73</v>
      </c>
      <c r="H100" s="183" t="n">
        <v>54129800</v>
      </c>
      <c r="I100" s="181" t="n">
        <v>-0.00666086</v>
      </c>
      <c r="J100" s="181" t="n">
        <v>-0.00602836</v>
      </c>
      <c r="K100" s="181" t="n">
        <v>0.03321875</v>
      </c>
      <c r="L100" s="181" t="n">
        <v>0.24761062</v>
      </c>
      <c r="M100" s="181" t="n">
        <v>0.41956137</v>
      </c>
      <c r="N100" s="181" t="n">
        <v>0.89171758</v>
      </c>
    </row>
    <row r="101">
      <c r="A101" t="inlineStr">
        <is>
          <t xml:space="preserve">Berkshire Hathaway Inc Class B </t>
        </is>
      </c>
      <c r="B101" t="inlineStr">
        <is>
          <t>BRK.B</t>
        </is>
      </c>
      <c r="C101" s="4" t="n">
        <v>0.0141</v>
      </c>
      <c r="D101" s="2" t="inlineStr">
        <is>
          <t>SPY</t>
        </is>
      </c>
      <c r="E101" t="inlineStr">
        <is>
          <t>IRA</t>
        </is>
      </c>
      <c r="G101" s="182" t="n">
        <v>480.46</v>
      </c>
      <c r="H101" s="183" t="n">
        <v>5586100</v>
      </c>
      <c r="I101" s="181" t="n">
        <v>-0.01621691</v>
      </c>
      <c r="J101" s="181" t="n">
        <v>-0.00927912</v>
      </c>
      <c r="K101" s="181" t="n">
        <v>0.01238991</v>
      </c>
      <c r="L101" s="181" t="n">
        <v>-0.06231586</v>
      </c>
      <c r="M101" s="181" t="n">
        <v>0.15234803</v>
      </c>
      <c r="N101" s="181" t="n">
        <v>0.67565296</v>
      </c>
    </row>
    <row r="102">
      <c r="A102" t="inlineStr">
        <is>
          <t xml:space="preserve">Tesla Inc </t>
        </is>
      </c>
      <c r="B102" t="inlineStr">
        <is>
          <t>TSLA</t>
        </is>
      </c>
      <c r="C102" s="4" t="n">
        <v>0.0174</v>
      </c>
      <c r="D102" s="2" t="inlineStr">
        <is>
          <t>SPY</t>
        </is>
      </c>
      <c r="E102" t="inlineStr">
        <is>
          <t>IRA</t>
        </is>
      </c>
      <c r="G102" s="182" t="n">
        <v>404.11</v>
      </c>
      <c r="H102" s="183" t="n">
        <v>46354700</v>
      </c>
      <c r="I102" s="181" t="n">
        <v>-0.01434183</v>
      </c>
      <c r="J102" s="181" t="n">
        <v>-0.06768953</v>
      </c>
      <c r="K102" s="181" t="n">
        <v>0.008711470000000001</v>
      </c>
      <c r="L102" s="181" t="n">
        <v>0.18129729</v>
      </c>
      <c r="M102" s="181" t="n">
        <v>1.27718906</v>
      </c>
      <c r="N102" s="181" t="n">
        <v>1.06607234</v>
      </c>
    </row>
    <row r="103">
      <c r="A103" t="inlineStr">
        <is>
          <t xml:space="preserve">Meta Platforms Inc Class A </t>
        </is>
      </c>
      <c r="B103" t="inlineStr">
        <is>
          <t>META</t>
        </is>
      </c>
      <c r="C103" s="4" t="n">
        <v>0.0217</v>
      </c>
      <c r="D103" s="2" t="inlineStr">
        <is>
          <t>SPY</t>
        </is>
      </c>
      <c r="E103" t="inlineStr">
        <is>
          <t>IRA</t>
        </is>
      </c>
      <c r="G103" s="182" t="n">
        <v>602.61</v>
      </c>
      <c r="H103" s="183" t="n">
        <v>11720900</v>
      </c>
      <c r="I103" s="181" t="n">
        <v>-0.01407051</v>
      </c>
      <c r="J103" s="181" t="n">
        <v>-0.00064679</v>
      </c>
      <c r="K103" s="181" t="n">
        <v>-0.12481302</v>
      </c>
      <c r="L103" s="181" t="n">
        <v>-0.05611858</v>
      </c>
      <c r="M103" s="181" t="n">
        <v>0.28561643</v>
      </c>
      <c r="N103" s="181" t="n">
        <v>0.90621436</v>
      </c>
    </row>
    <row r="104">
      <c r="A104" t="inlineStr">
        <is>
          <t xml:space="preserve">Alphabet Inc Class C </t>
        </is>
      </c>
      <c r="B104" t="inlineStr">
        <is>
          <t>GOOG</t>
        </is>
      </c>
      <c r="C104" s="4" t="n">
        <v>0.0289</v>
      </c>
      <c r="D104" s="2" t="inlineStr">
        <is>
          <t>SPY</t>
        </is>
      </c>
      <c r="E104" t="inlineStr">
        <is>
          <t>IRA</t>
        </is>
      </c>
      <c r="G104" s="182" t="n">
        <v>384.9</v>
      </c>
      <c r="H104" s="183" t="n">
        <v>25497700</v>
      </c>
      <c r="I104" s="181" t="n">
        <v>-0.02088472</v>
      </c>
      <c r="J104" s="181" t="n">
        <v>0.00281378</v>
      </c>
      <c r="K104" s="181" t="n">
        <v>0.13406011</v>
      </c>
      <c r="L104" s="181" t="n">
        <v>1.30077221</v>
      </c>
      <c r="M104" s="181" t="n">
        <v>1.18884331</v>
      </c>
      <c r="N104" s="181" t="n">
        <v>2.2941019</v>
      </c>
    </row>
    <row r="105">
      <c r="A105" t="inlineStr">
        <is>
          <t xml:space="preserve">Broadcom Inc </t>
        </is>
      </c>
      <c r="B105" t="inlineStr">
        <is>
          <t>AVGO</t>
        </is>
      </c>
      <c r="C105" s="4" t="n">
        <v>0.032</v>
      </c>
      <c r="D105" s="2" t="inlineStr">
        <is>
          <t>SPY</t>
        </is>
      </c>
      <c r="E105" t="inlineStr">
        <is>
          <t>IRA</t>
        </is>
      </c>
      <c r="G105" s="182" t="n">
        <v>411.07</v>
      </c>
      <c r="H105" s="183" t="n">
        <v>20620900</v>
      </c>
      <c r="I105" s="181" t="n">
        <v>-0.02291361</v>
      </c>
      <c r="J105" s="181" t="n">
        <v>-0.01962791</v>
      </c>
      <c r="K105" s="181" t="n">
        <v>0.01114281</v>
      </c>
      <c r="L105" s="181" t="n">
        <v>0.7968204800000001</v>
      </c>
      <c r="M105" s="181" t="n">
        <v>2.00630568</v>
      </c>
      <c r="N105" s="181" t="n">
        <v>8.985732649999999</v>
      </c>
    </row>
    <row r="106">
      <c r="A106" t="inlineStr">
        <is>
          <t xml:space="preserve">Alphabet Inc Class A </t>
        </is>
      </c>
      <c r="B106" t="inlineStr">
        <is>
          <t>GOOGL</t>
        </is>
      </c>
      <c r="C106" s="4" t="n">
        <v>0.0363</v>
      </c>
      <c r="D106" s="2" t="inlineStr">
        <is>
          <t>SPY</t>
        </is>
      </c>
      <c r="E106" t="inlineStr">
        <is>
          <t>IRA</t>
        </is>
      </c>
      <c r="G106" s="182" t="n">
        <v>387.66</v>
      </c>
      <c r="H106" s="183" t="n">
        <v>39458400</v>
      </c>
      <c r="I106" s="181" t="n">
        <v>-0.02337884</v>
      </c>
      <c r="J106" s="181" t="n">
        <v>0.0008003</v>
      </c>
      <c r="K106" s="181" t="n">
        <v>0.13457039</v>
      </c>
      <c r="L106" s="181" t="n">
        <v>1.33580064</v>
      </c>
      <c r="M106" s="181" t="n">
        <v>1.22006163</v>
      </c>
      <c r="N106" s="181" t="n">
        <v>2.38857827</v>
      </c>
    </row>
    <row r="107">
      <c r="A107" t="inlineStr">
        <is>
          <t xml:space="preserve">Amazon.com Inc </t>
        </is>
      </c>
      <c r="B107" t="inlineStr">
        <is>
          <t>AMZN</t>
        </is>
      </c>
      <c r="C107" s="4" t="n">
        <v>0.0419</v>
      </c>
      <c r="D107" s="2" t="inlineStr">
        <is>
          <t>SPY</t>
        </is>
      </c>
      <c r="E107" t="inlineStr">
        <is>
          <t>IRA</t>
        </is>
      </c>
      <c r="G107" s="182" t="n">
        <v>259.34</v>
      </c>
      <c r="H107" s="183" t="n">
        <v>40269100</v>
      </c>
      <c r="I107" s="181" t="n">
        <v>-0.02084116</v>
      </c>
      <c r="J107" s="181" t="n">
        <v>-0.02437744</v>
      </c>
      <c r="K107" s="181" t="n">
        <v>0.0350415</v>
      </c>
      <c r="L107" s="181" t="n">
        <v>0.25795495</v>
      </c>
      <c r="M107" s="181" t="n">
        <v>0.40411478</v>
      </c>
      <c r="N107" s="181" t="n">
        <v>0.59707848</v>
      </c>
    </row>
    <row r="108">
      <c r="A108" t="inlineStr">
        <is>
          <t xml:space="preserve">Microsoft Corp </t>
        </is>
      </c>
      <c r="B108" t="inlineStr">
        <is>
          <t>MSFT</t>
        </is>
      </c>
      <c r="C108" s="4" t="n">
        <v>0.049</v>
      </c>
      <c r="D108" s="2" t="inlineStr">
        <is>
          <t>SPY</t>
        </is>
      </c>
      <c r="E108" t="inlineStr">
        <is>
          <t>IRA</t>
        </is>
      </c>
      <c r="G108" s="182" t="n">
        <v>417.42</v>
      </c>
      <c r="H108" s="183" t="n">
        <v>32942800</v>
      </c>
      <c r="I108" s="181" t="n">
        <v>-0.01444963</v>
      </c>
      <c r="J108" s="181" t="n">
        <v>0.02366536</v>
      </c>
      <c r="K108" s="181" t="n">
        <v>-0.01270133</v>
      </c>
      <c r="L108" s="181" t="n">
        <v>-0.08504617</v>
      </c>
      <c r="M108" s="181" t="n">
        <v>0.00679123</v>
      </c>
      <c r="N108" s="181" t="n">
        <v>0.76083236</v>
      </c>
    </row>
    <row r="109">
      <c r="A109" t="inlineStr">
        <is>
          <t xml:space="preserve">Apple Inc </t>
        </is>
      </c>
      <c r="B109" t="inlineStr">
        <is>
          <t>AAPL</t>
        </is>
      </c>
      <c r="C109" s="4" t="n">
        <v>0.0645</v>
      </c>
      <c r="D109" s="2" t="inlineStr">
        <is>
          <t>SPY</t>
        </is>
      </c>
      <c r="E109" t="inlineStr">
        <is>
          <t>IRA</t>
        </is>
      </c>
      <c r="G109" s="182" t="n">
        <v>298.97</v>
      </c>
      <c r="H109" s="183" t="n">
        <v>42199700</v>
      </c>
      <c r="I109" s="181" t="n">
        <v>0.003794</v>
      </c>
      <c r="J109" s="181" t="n">
        <v>0.01414523</v>
      </c>
      <c r="K109" s="181" t="n">
        <v>0.10737315</v>
      </c>
      <c r="L109" s="181" t="n">
        <v>0.43766669</v>
      </c>
      <c r="M109" s="181" t="n">
        <v>0.5882436599999999</v>
      </c>
      <c r="N109" s="181" t="n">
        <v>1.40918958</v>
      </c>
    </row>
    <row r="110">
      <c r="A110" t="inlineStr">
        <is>
          <t xml:space="preserve">NVIDIA Corp </t>
        </is>
      </c>
      <c r="B110" t="inlineStr">
        <is>
          <t>NVDA</t>
        </is>
      </c>
      <c r="C110" s="4" t="n">
        <v>0.0785</v>
      </c>
      <c r="D110" s="2" t="inlineStr">
        <is>
          <t>SPY</t>
        </is>
      </c>
      <c r="E110" t="inlineStr">
        <is>
          <t>IRA</t>
        </is>
      </c>
      <c r="G110" s="182" t="n">
        <v>220.61</v>
      </c>
      <c r="H110" s="183" t="n">
        <v>140201600</v>
      </c>
      <c r="I110" s="181" t="n">
        <v>-0.00769165</v>
      </c>
      <c r="J110" s="181" t="n">
        <v>-0.00076999</v>
      </c>
      <c r="K110" s="181" t="n">
        <v>0.09386161</v>
      </c>
      <c r="L110" s="181" t="n">
        <v>0.62766095</v>
      </c>
      <c r="M110" s="181" t="n">
        <v>1.38686075</v>
      </c>
      <c r="N110" s="181" t="n">
        <v>14.1353981</v>
      </c>
    </row>
    <row r="111">
      <c r="A111" t="inlineStr">
        <is>
          <t>Other</t>
        </is>
      </c>
      <c r="B111" t="inlineStr">
        <is>
          <t>OTH</t>
        </is>
      </c>
      <c r="C111" s="4">
        <f>100%-(SUM(C101:C110))</f>
        <v/>
      </c>
      <c r="D111" s="2" t="inlineStr">
        <is>
          <t>SPY</t>
        </is>
      </c>
      <c r="E111" t="inlineStr">
        <is>
          <t>IRA</t>
        </is>
      </c>
      <c r="G111" s="182">
        <f>IF($B111="","",IFERROR(XLOOKUP($B111,'Daily Update'!$A:$A,'Daily Update'!$C:$C),""))</f>
        <v/>
      </c>
      <c r="H111" s="183">
        <f>IF($B111="","",IFERROR(XLOOKUP($B111,'Daily Update'!$A:$A,'Daily Update'!$D:$D),""))</f>
        <v/>
      </c>
      <c r="I111" s="181">
        <f>IF($B111="","",IFERROR(XLOOKUP($B111,'Daily Update'!$A:$A,'Daily Update'!$E:$E),""))</f>
        <v/>
      </c>
      <c r="J111" s="181">
        <f>IF($B111="","",IFERROR(XLOOKUP($B111,'Daily Update'!$A:$A,'Daily Update'!$F:$F),""))</f>
        <v/>
      </c>
      <c r="K111" s="181">
        <f>IF($B111="","",IFERROR(XLOOKUP($B111,'Daily Update'!$A:$A,'Daily Update'!$G:$G),""))</f>
        <v/>
      </c>
      <c r="L111" s="181">
        <f>IF($B111="","",IFERROR(XLOOKUP($B111,'Daily Update'!$A:$A,'Daily Update'!$H:$H),""))</f>
        <v/>
      </c>
      <c r="M111" s="181">
        <f>IF($B111="","",IFERROR(XLOOKUP($B111,'Daily Update'!$A:$A,'Daily Update'!$I:$I),""))</f>
        <v/>
      </c>
      <c r="N111" s="181">
        <f>IF($B111="","",IFERROR(XLOOKUP($B111,'Daily Update'!$A:$A,'Daily Update'!$J:$J),""))</f>
        <v/>
      </c>
    </row>
    <row r="112">
      <c r="D112" s="2" t="n"/>
      <c r="G112" s="182">
        <f>IF($B112="","",IFERROR(XLOOKUP($B112,'Daily Update'!$A:$A,'Daily Update'!$C:$C),""))</f>
        <v/>
      </c>
      <c r="H112" s="183">
        <f>IF($B112="","",IFERROR(XLOOKUP($B112,'Daily Update'!$A:$A,'Daily Update'!$D:$D),""))</f>
        <v/>
      </c>
      <c r="I112" s="181">
        <f>IF($B112="","",IFERROR(XLOOKUP($B112,'Daily Update'!$A:$A,'Daily Update'!$E:$E),""))</f>
        <v/>
      </c>
      <c r="J112" s="181">
        <f>IF($B112="","",IFERROR(XLOOKUP($B112,'Daily Update'!$A:$A,'Daily Update'!$F:$F),""))</f>
        <v/>
      </c>
      <c r="K112" s="181">
        <f>IF($B112="","",IFERROR(XLOOKUP($B112,'Daily Update'!$A:$A,'Daily Update'!$G:$G),""))</f>
        <v/>
      </c>
      <c r="L112" s="181">
        <f>IF($B112="","",IFERROR(XLOOKUP($B112,'Daily Update'!$A:$A,'Daily Update'!$H:$H),""))</f>
        <v/>
      </c>
      <c r="M112" s="181">
        <f>IF($B112="","",IFERROR(XLOOKUP($B112,'Daily Update'!$A:$A,'Daily Update'!$I:$I),""))</f>
        <v/>
      </c>
      <c r="N112" s="181">
        <f>IF($B112="","",IFERROR(XLOOKUP($B112,'Daily Update'!$A:$A,'Daily Update'!$J:$J),""))</f>
        <v/>
      </c>
    </row>
    <row r="113">
      <c r="A113" s="38" t="inlineStr">
        <is>
          <t>SHP ETF TR NEOS S&amp;P 500 HIGH INCOME ETF</t>
        </is>
      </c>
      <c r="B113" s="8" t="inlineStr">
        <is>
          <t>SPYI</t>
        </is>
      </c>
      <c r="C113" s="7">
        <f>SUM(C114:C122)</f>
        <v/>
      </c>
      <c r="D113" s="8" t="inlineStr">
        <is>
          <t>SPYI</t>
        </is>
      </c>
      <c r="E113" s="38" t="inlineStr">
        <is>
          <t>IRA</t>
        </is>
      </c>
      <c r="F113" s="38" t="n"/>
      <c r="G113" s="182" t="n">
        <v>53.33</v>
      </c>
      <c r="H113" s="183" t="n">
        <v>3214400</v>
      </c>
      <c r="I113" s="181" t="n">
        <v>-0.00392228</v>
      </c>
      <c r="J113" s="181" t="n">
        <v>-0.00243167</v>
      </c>
      <c r="K113" s="181" t="n">
        <v>0.02513559</v>
      </c>
      <c r="L113" s="181" t="n">
        <v>0.21245041</v>
      </c>
      <c r="M113" s="181" t="n">
        <v>0.36003304</v>
      </c>
      <c r="N113" s="181" t="n"/>
    </row>
    <row r="114">
      <c r="A114" t="inlineStr">
        <is>
          <t xml:space="preserve">Meta Platforms Inc Class A </t>
        </is>
      </c>
      <c r="B114" t="inlineStr">
        <is>
          <t>META</t>
        </is>
      </c>
      <c r="C114" s="4" t="n">
        <v>0.0228</v>
      </c>
      <c r="D114" s="2" t="inlineStr">
        <is>
          <t>SPYI</t>
        </is>
      </c>
      <c r="E114" t="inlineStr">
        <is>
          <t>IRA</t>
        </is>
      </c>
      <c r="G114" s="182" t="n">
        <v>602.61</v>
      </c>
      <c r="H114" s="183" t="n">
        <v>11720900</v>
      </c>
      <c r="I114" s="181" t="n">
        <v>-0.01407051</v>
      </c>
      <c r="J114" s="181" t="n">
        <v>-0.00064679</v>
      </c>
      <c r="K114" s="181" t="n">
        <v>-0.12481302</v>
      </c>
      <c r="L114" s="181" t="n">
        <v>-0.05611858</v>
      </c>
      <c r="M114" s="181" t="n">
        <v>0.28561643</v>
      </c>
      <c r="N114" s="181" t="n">
        <v>0.90621436</v>
      </c>
    </row>
    <row r="115">
      <c r="A115" t="inlineStr">
        <is>
          <t xml:space="preserve">Alphabet Inc Class C </t>
        </is>
      </c>
      <c r="B115" t="inlineStr">
        <is>
          <t>GOOG</t>
        </is>
      </c>
      <c r="C115" s="4" t="n">
        <v>0.0296</v>
      </c>
      <c r="D115" s="2" t="inlineStr">
        <is>
          <t>SPYI</t>
        </is>
      </c>
      <c r="E115" t="inlineStr">
        <is>
          <t>IRA</t>
        </is>
      </c>
      <c r="G115" s="182" t="n">
        <v>384.9</v>
      </c>
      <c r="H115" s="183" t="n">
        <v>25497700</v>
      </c>
      <c r="I115" s="181" t="n">
        <v>-0.02088472</v>
      </c>
      <c r="J115" s="181" t="n">
        <v>0.00281378</v>
      </c>
      <c r="K115" s="181" t="n">
        <v>0.13406011</v>
      </c>
      <c r="L115" s="181" t="n">
        <v>1.30077221</v>
      </c>
      <c r="M115" s="181" t="n">
        <v>1.18884331</v>
      </c>
      <c r="N115" s="181" t="n">
        <v>2.2941019</v>
      </c>
    </row>
    <row r="116">
      <c r="A116" t="inlineStr">
        <is>
          <t xml:space="preserve">Broadcom Inc </t>
        </is>
      </c>
      <c r="B116" t="inlineStr">
        <is>
          <t>AVGO</t>
        </is>
      </c>
      <c r="C116" s="4" t="n">
        <v>0.0327</v>
      </c>
      <c r="D116" s="2" t="inlineStr">
        <is>
          <t>SPYI</t>
        </is>
      </c>
      <c r="E116" t="inlineStr">
        <is>
          <t>IRA</t>
        </is>
      </c>
      <c r="G116" s="182" t="n">
        <v>411.07</v>
      </c>
      <c r="H116" s="183" t="n">
        <v>20620900</v>
      </c>
      <c r="I116" s="181" t="n">
        <v>-0.02291361</v>
      </c>
      <c r="J116" s="181" t="n">
        <v>-0.01962791</v>
      </c>
      <c r="K116" s="181" t="n">
        <v>0.01114281</v>
      </c>
      <c r="L116" s="181" t="n">
        <v>0.7968204800000001</v>
      </c>
      <c r="M116" s="181" t="n">
        <v>2.00630568</v>
      </c>
      <c r="N116" s="181" t="n">
        <v>8.985732649999999</v>
      </c>
    </row>
    <row r="117">
      <c r="A117" t="inlineStr">
        <is>
          <t xml:space="preserve">Alphabet Inc Class A </t>
        </is>
      </c>
      <c r="B117" t="inlineStr">
        <is>
          <t>GOOGL</t>
        </is>
      </c>
      <c r="C117" s="4" t="n">
        <v>0.0371</v>
      </c>
      <c r="D117" s="2" t="inlineStr">
        <is>
          <t>SPYI</t>
        </is>
      </c>
      <c r="E117" t="inlineStr">
        <is>
          <t>IRA</t>
        </is>
      </c>
      <c r="G117" s="182" t="n">
        <v>387.66</v>
      </c>
      <c r="H117" s="183" t="n">
        <v>39458400</v>
      </c>
      <c r="I117" s="181" t="n">
        <v>-0.02337884</v>
      </c>
      <c r="J117" s="181" t="n">
        <v>0.0008003</v>
      </c>
      <c r="K117" s="181" t="n">
        <v>0.13457039</v>
      </c>
      <c r="L117" s="181" t="n">
        <v>1.33580064</v>
      </c>
      <c r="M117" s="181" t="n">
        <v>1.22006163</v>
      </c>
      <c r="N117" s="181" t="n">
        <v>2.38857827</v>
      </c>
    </row>
    <row r="118">
      <c r="A118" t="inlineStr">
        <is>
          <t xml:space="preserve">Amazon.com Inc </t>
        </is>
      </c>
      <c r="B118" t="inlineStr">
        <is>
          <t>AMZN</t>
        </is>
      </c>
      <c r="C118" s="4" t="n">
        <v>0.0429</v>
      </c>
      <c r="D118" s="2" t="inlineStr">
        <is>
          <t>SPYI</t>
        </is>
      </c>
      <c r="E118" t="inlineStr">
        <is>
          <t>IRA</t>
        </is>
      </c>
      <c r="G118" s="182" t="n">
        <v>259.34</v>
      </c>
      <c r="H118" s="183" t="n">
        <v>40269100</v>
      </c>
      <c r="I118" s="181" t="n">
        <v>-0.02084116</v>
      </c>
      <c r="J118" s="181" t="n">
        <v>-0.02437744</v>
      </c>
      <c r="K118" s="181" t="n">
        <v>0.0350415</v>
      </c>
      <c r="L118" s="181" t="n">
        <v>0.25795495</v>
      </c>
      <c r="M118" s="181" t="n">
        <v>0.40411478</v>
      </c>
      <c r="N118" s="181" t="n">
        <v>0.59707848</v>
      </c>
    </row>
    <row r="119">
      <c r="A119" t="inlineStr">
        <is>
          <t xml:space="preserve">Microsoft Corp </t>
        </is>
      </c>
      <c r="B119" t="inlineStr">
        <is>
          <t>MSFT</t>
        </is>
      </c>
      <c r="C119" s="4" t="n">
        <v>0.0503</v>
      </c>
      <c r="D119" s="2" t="inlineStr">
        <is>
          <t>SPYI</t>
        </is>
      </c>
      <c r="E119" t="inlineStr">
        <is>
          <t>IRA</t>
        </is>
      </c>
      <c r="G119" s="182" t="n">
        <v>417.42</v>
      </c>
      <c r="H119" s="183" t="n">
        <v>32942800</v>
      </c>
      <c r="I119" s="181" t="n">
        <v>-0.01444963</v>
      </c>
      <c r="J119" s="181" t="n">
        <v>0.02366536</v>
      </c>
      <c r="K119" s="181" t="n">
        <v>-0.01270133</v>
      </c>
      <c r="L119" s="181" t="n">
        <v>-0.08504617</v>
      </c>
      <c r="M119" s="181" t="n">
        <v>0.00679123</v>
      </c>
      <c r="N119" s="181" t="n">
        <v>0.76083236</v>
      </c>
    </row>
    <row r="120">
      <c r="A120" t="inlineStr">
        <is>
          <t xml:space="preserve">Apple Inc </t>
        </is>
      </c>
      <c r="B120" t="inlineStr">
        <is>
          <t>AAPL</t>
        </is>
      </c>
      <c r="C120" s="4" t="n">
        <v>0.0672</v>
      </c>
      <c r="D120" s="2" t="inlineStr">
        <is>
          <t>SPYI</t>
        </is>
      </c>
      <c r="E120" t="inlineStr">
        <is>
          <t>IRA</t>
        </is>
      </c>
      <c r="G120" s="182" t="n">
        <v>298.97</v>
      </c>
      <c r="H120" s="183" t="n">
        <v>42199700</v>
      </c>
      <c r="I120" s="181" t="n">
        <v>0.003794</v>
      </c>
      <c r="J120" s="181" t="n">
        <v>0.01414523</v>
      </c>
      <c r="K120" s="181" t="n">
        <v>0.10737315</v>
      </c>
      <c r="L120" s="181" t="n">
        <v>0.43766669</v>
      </c>
      <c r="M120" s="181" t="n">
        <v>0.5882436599999999</v>
      </c>
      <c r="N120" s="181" t="n">
        <v>1.40918958</v>
      </c>
    </row>
    <row r="121">
      <c r="A121" t="inlineStr">
        <is>
          <t xml:space="preserve">NVIDIA Corp </t>
        </is>
      </c>
      <c r="B121" t="inlineStr">
        <is>
          <t>NVDA</t>
        </is>
      </c>
      <c r="C121" s="4" t="n">
        <v>0.0803</v>
      </c>
      <c r="D121" s="2" t="inlineStr">
        <is>
          <t>SPYI</t>
        </is>
      </c>
      <c r="E121" t="inlineStr">
        <is>
          <t>IRA</t>
        </is>
      </c>
      <c r="G121" s="182" t="n">
        <v>220.61</v>
      </c>
      <c r="H121" s="183" t="n">
        <v>140201600</v>
      </c>
      <c r="I121" s="181" t="n">
        <v>-0.00769165</v>
      </c>
      <c r="J121" s="181" t="n">
        <v>-0.00076999</v>
      </c>
      <c r="K121" s="181" t="n">
        <v>0.09386161</v>
      </c>
      <c r="L121" s="181" t="n">
        <v>0.62766095</v>
      </c>
      <c r="M121" s="181" t="n">
        <v>1.38686075</v>
      </c>
      <c r="N121" s="181" t="n">
        <v>14.1353981</v>
      </c>
    </row>
    <row r="122">
      <c r="A122" t="inlineStr">
        <is>
          <t>Other</t>
        </is>
      </c>
      <c r="B122" t="inlineStr">
        <is>
          <t>OTH</t>
        </is>
      </c>
      <c r="C122" s="4">
        <f>100%-(SUM(C114:C121))</f>
        <v/>
      </c>
      <c r="D122" s="2" t="inlineStr">
        <is>
          <t>SPYI</t>
        </is>
      </c>
      <c r="E122" t="inlineStr">
        <is>
          <t>IRA</t>
        </is>
      </c>
      <c r="G122" s="182">
        <f>IF($B122="","",IFERROR(XLOOKUP($B122,'Daily Update'!$A:$A,'Daily Update'!$C:$C),""))</f>
        <v/>
      </c>
      <c r="H122" s="183">
        <f>IF($B122="","",IFERROR(XLOOKUP($B122,'Daily Update'!$A:$A,'Daily Update'!$D:$D),""))</f>
        <v/>
      </c>
      <c r="I122" s="181">
        <f>IF($B122="","",IFERROR(XLOOKUP($B122,'Daily Update'!$A:$A,'Daily Update'!$E:$E),""))</f>
        <v/>
      </c>
      <c r="J122" s="181">
        <f>IF($B122="","",IFERROR(XLOOKUP($B122,'Daily Update'!$A:$A,'Daily Update'!$F:$F),""))</f>
        <v/>
      </c>
      <c r="K122" s="181">
        <f>IF($B122="","",IFERROR(XLOOKUP($B122,'Daily Update'!$A:$A,'Daily Update'!$G:$G),""))</f>
        <v/>
      </c>
      <c r="L122" s="181">
        <f>IF($B122="","",IFERROR(XLOOKUP($B122,'Daily Update'!$A:$A,'Daily Update'!$H:$H),""))</f>
        <v/>
      </c>
      <c r="M122" s="181">
        <f>IF($B122="","",IFERROR(XLOOKUP($B122,'Daily Update'!$A:$A,'Daily Update'!$I:$I),""))</f>
        <v/>
      </c>
      <c r="N122" s="181">
        <f>IF($B122="","",IFERROR(XLOOKUP($B122,'Daily Update'!$A:$A,'Daily Update'!$J:$J),""))</f>
        <v/>
      </c>
    </row>
    <row r="123">
      <c r="D123" s="2" t="n"/>
      <c r="G123" s="182">
        <f>IF($B123="","",IFERROR(XLOOKUP($B123,'Daily Update'!$A:$A,'Daily Update'!$C:$C),""))</f>
        <v/>
      </c>
      <c r="H123" s="183">
        <f>IF($B123="","",IFERROR(XLOOKUP($B123,'Daily Update'!$A:$A,'Daily Update'!$D:$D),""))</f>
        <v/>
      </c>
      <c r="I123" s="181">
        <f>IF($B123="","",IFERROR(XLOOKUP($B123,'Daily Update'!$A:$A,'Daily Update'!$E:$E),""))</f>
        <v/>
      </c>
      <c r="J123" s="181">
        <f>IF($B123="","",IFERROR(XLOOKUP($B123,'Daily Update'!$A:$A,'Daily Update'!$F:$F),""))</f>
        <v/>
      </c>
      <c r="K123" s="181">
        <f>IF($B123="","",IFERROR(XLOOKUP($B123,'Daily Update'!$A:$A,'Daily Update'!$G:$G),""))</f>
        <v/>
      </c>
      <c r="L123" s="181">
        <f>IF($B123="","",IFERROR(XLOOKUP($B123,'Daily Update'!$A:$A,'Daily Update'!$H:$H),""))</f>
        <v/>
      </c>
      <c r="M123" s="181">
        <f>IF($B123="","",IFERROR(XLOOKUP($B123,'Daily Update'!$A:$A,'Daily Update'!$I:$I),""))</f>
        <v/>
      </c>
      <c r="N123" s="181">
        <f>IF($B123="","",IFERROR(XLOOKUP($B123,'Daily Update'!$A:$A,'Daily Update'!$J:$J),""))</f>
        <v/>
      </c>
    </row>
    <row r="124">
      <c r="A124" s="38" t="inlineStr">
        <is>
          <t>VANGUARD INDEX FUNDS VANGUARD VALUE ETF</t>
        </is>
      </c>
      <c r="B124" s="38" t="inlineStr">
        <is>
          <t>VTV</t>
        </is>
      </c>
      <c r="C124" s="7">
        <f>SUM(C125:C135)</f>
        <v/>
      </c>
      <c r="D124" s="8" t="inlineStr">
        <is>
          <t>VTV</t>
        </is>
      </c>
      <c r="E124" s="38" t="inlineStr">
        <is>
          <t>IRA</t>
        </is>
      </c>
      <c r="F124" s="38" t="n"/>
      <c r="G124" s="182" t="n">
        <v>207.08</v>
      </c>
      <c r="H124" s="183" t="n">
        <v>2317300</v>
      </c>
      <c r="I124" s="181" t="n">
        <v>-0.00144663</v>
      </c>
      <c r="J124" s="181" t="n">
        <v>-0.00685815</v>
      </c>
      <c r="K124" s="181" t="n">
        <v>0.01390519</v>
      </c>
      <c r="L124" s="181" t="n">
        <v>0.22040717</v>
      </c>
      <c r="M124" s="181" t="n">
        <v>0.32286742</v>
      </c>
      <c r="N124" s="181" t="n">
        <v>0.6820886900000001</v>
      </c>
    </row>
    <row r="125">
      <c r="A125" t="inlineStr">
        <is>
          <t xml:space="preserve">Chevron Corp </t>
        </is>
      </c>
      <c r="B125" t="inlineStr">
        <is>
          <t>CVX</t>
        </is>
      </c>
      <c r="C125" s="4" t="n">
        <v>0.0142</v>
      </c>
      <c r="D125" s="2" t="inlineStr">
        <is>
          <t>VTV</t>
        </is>
      </c>
      <c r="E125" t="inlineStr">
        <is>
          <t>IRA</t>
        </is>
      </c>
      <c r="G125" s="182" t="n">
        <v>197.25</v>
      </c>
      <c r="H125" s="183" t="n">
        <v>11811800</v>
      </c>
      <c r="I125" s="181" t="n">
        <v>0.0057618</v>
      </c>
      <c r="J125" s="181" t="n">
        <v>0.06076904</v>
      </c>
      <c r="K125" s="181" t="n">
        <v>0.0720691</v>
      </c>
      <c r="L125" s="181" t="n">
        <v>0.47047527</v>
      </c>
      <c r="M125" s="181" t="n">
        <v>0.30875537</v>
      </c>
      <c r="N125" s="181" t="n">
        <v>1.31719993</v>
      </c>
    </row>
    <row r="126">
      <c r="A126" t="inlineStr">
        <is>
          <t xml:space="preserve">AbbVie Inc </t>
        </is>
      </c>
      <c r="B126" t="inlineStr">
        <is>
          <t>ABBV</t>
        </is>
      </c>
      <c r="C126" s="4" t="n">
        <v>0.0145</v>
      </c>
      <c r="D126" s="2" t="inlineStr">
        <is>
          <t>VTV</t>
        </is>
      </c>
      <c r="E126" t="inlineStr">
        <is>
          <t>IRA</t>
        </is>
      </c>
      <c r="G126" s="182" t="n">
        <v>213.76</v>
      </c>
      <c r="H126" s="183" t="n">
        <v>4460380</v>
      </c>
      <c r="I126" s="181" t="n">
        <v>0.0207726</v>
      </c>
      <c r="J126" s="181" t="n">
        <v>0.02838446</v>
      </c>
      <c r="K126" s="181" t="n">
        <v>0.02581817</v>
      </c>
      <c r="L126" s="181" t="n">
        <v>0.1885406</v>
      </c>
      <c r="M126" s="181" t="n">
        <v>0.37448755</v>
      </c>
      <c r="N126" s="181" t="n">
        <v>1.20174021</v>
      </c>
    </row>
    <row r="127">
      <c r="A127" t="inlineStr">
        <is>
          <t xml:space="preserve">Intel Corp </t>
        </is>
      </c>
      <c r="B127" t="inlineStr">
        <is>
          <t>INTC</t>
        </is>
      </c>
      <c r="C127" s="4" t="n">
        <v>0.0146</v>
      </c>
      <c r="D127" s="2" t="inlineStr">
        <is>
          <t>VTV</t>
        </is>
      </c>
      <c r="E127" t="inlineStr">
        <is>
          <t>IRA</t>
        </is>
      </c>
      <c r="G127" s="182" t="n">
        <v>110.8</v>
      </c>
      <c r="H127" s="183" t="n">
        <v>149436900</v>
      </c>
      <c r="I127" s="181" t="n">
        <v>0.02431363</v>
      </c>
      <c r="J127" s="181" t="n">
        <v>-0.08133652</v>
      </c>
      <c r="K127" s="181" t="n">
        <v>0.61751829</v>
      </c>
      <c r="L127" s="181" t="n">
        <v>4.18241382</v>
      </c>
      <c r="M127" s="181" t="n">
        <v>2.50307486</v>
      </c>
      <c r="N127" s="181" t="n">
        <v>1.1640348</v>
      </c>
    </row>
    <row r="128">
      <c r="A128" t="inlineStr">
        <is>
          <t xml:space="preserve">Caterpillar Inc </t>
        </is>
      </c>
      <c r="B128" t="inlineStr">
        <is>
          <t>CAT</t>
        </is>
      </c>
      <c r="C128" s="4" t="n">
        <v>0.0161</v>
      </c>
      <c r="D128" s="2" t="inlineStr">
        <is>
          <t>VTV</t>
        </is>
      </c>
      <c r="E128" t="inlineStr">
        <is>
          <t>IRA</t>
        </is>
      </c>
      <c r="G128" s="182" t="n">
        <v>860.15</v>
      </c>
      <c r="H128" s="183" t="n">
        <v>3238900</v>
      </c>
      <c r="I128" s="181" t="n">
        <v>-0.00439839</v>
      </c>
      <c r="J128" s="181" t="n">
        <v>-0.05699782</v>
      </c>
      <c r="K128" s="181" t="n">
        <v>0.08448699</v>
      </c>
      <c r="L128" s="181" t="n">
        <v>1.46606084</v>
      </c>
      <c r="M128" s="181" t="n">
        <v>1.48009231</v>
      </c>
      <c r="N128" s="181" t="n">
        <v>3.00306549</v>
      </c>
    </row>
    <row r="129">
      <c r="A129" t="inlineStr">
        <is>
          <t xml:space="preserve">Johnson &amp; Johnson </t>
        </is>
      </c>
      <c r="B129" t="inlineStr">
        <is>
          <t>JNJ</t>
        </is>
      </c>
      <c r="C129" s="4" t="n">
        <v>0.0215</v>
      </c>
      <c r="D129" s="2" t="inlineStr">
        <is>
          <t>VTV</t>
        </is>
      </c>
      <c r="E129" t="inlineStr">
        <is>
          <t>IRA</t>
        </is>
      </c>
      <c r="G129" s="182" t="n">
        <v>230</v>
      </c>
      <c r="H129" s="183" t="n">
        <v>6002888</v>
      </c>
      <c r="I129" s="181" t="n">
        <v>0.00471781</v>
      </c>
      <c r="J129" s="181" t="n">
        <v>0.02559532</v>
      </c>
      <c r="K129" s="181" t="n">
        <v>-0.01784949</v>
      </c>
      <c r="L129" s="181" t="n">
        <v>0.5503196</v>
      </c>
      <c r="M129" s="181" t="n">
        <v>0.57780938</v>
      </c>
      <c r="N129" s="181" t="n">
        <v>0.54825663</v>
      </c>
    </row>
    <row r="130">
      <c r="A130" t="inlineStr">
        <is>
          <t xml:space="preserve">Walmart Inc </t>
        </is>
      </c>
      <c r="B130" t="inlineStr">
        <is>
          <t>WMT</t>
        </is>
      </c>
      <c r="C130" s="4" t="n">
        <v>0.0224</v>
      </c>
      <c r="D130" s="2" t="inlineStr">
        <is>
          <t>VTV</t>
        </is>
      </c>
      <c r="E130" t="inlineStr">
        <is>
          <t>IRA</t>
        </is>
      </c>
      <c r="G130" s="182" t="n">
        <v>134.2</v>
      </c>
      <c r="H130" s="183" t="n">
        <v>16943100</v>
      </c>
      <c r="I130" s="181" t="n">
        <v>0.00644968</v>
      </c>
      <c r="J130" s="181" t="n">
        <v>0.02953579</v>
      </c>
      <c r="K130" s="181" t="n">
        <v>0.05455769</v>
      </c>
      <c r="L130" s="181" t="n">
        <v>0.37914812</v>
      </c>
      <c r="M130" s="181" t="n">
        <v>1.11464279</v>
      </c>
      <c r="N130" s="181" t="n">
        <v>2.01315426</v>
      </c>
    </row>
    <row r="131">
      <c r="A131" t="inlineStr">
        <is>
          <t xml:space="preserve">Micron Technology Inc </t>
        </is>
      </c>
      <c r="B131" t="inlineStr">
        <is>
          <t>MU</t>
        </is>
      </c>
      <c r="C131" s="4" t="n">
        <v>0.0226</v>
      </c>
      <c r="D131" s="2" t="inlineStr">
        <is>
          <t>VTV</t>
        </is>
      </c>
      <c r="E131" t="inlineStr">
        <is>
          <t>IRA</t>
        </is>
      </c>
      <c r="G131" s="182" t="n">
        <v>698.74</v>
      </c>
      <c r="H131" s="183" t="n">
        <v>61450300</v>
      </c>
      <c r="I131" s="181" t="n">
        <v>0.02523698</v>
      </c>
      <c r="J131" s="181" t="n">
        <v>-0.08849699</v>
      </c>
      <c r="K131" s="181" t="n">
        <v>0.53545604</v>
      </c>
      <c r="L131" s="181" t="n">
        <v>6.09997452</v>
      </c>
      <c r="M131" s="181" t="n">
        <v>4.6161004</v>
      </c>
      <c r="N131" s="181" t="n">
        <v>7.83083375</v>
      </c>
    </row>
    <row r="132">
      <c r="A132" t="inlineStr">
        <is>
          <t xml:space="preserve">Exxon Mobil Corp </t>
        </is>
      </c>
      <c r="B132" t="inlineStr">
        <is>
          <t>XOM</t>
        </is>
      </c>
      <c r="C132" s="4" t="n">
        <v>0.0249</v>
      </c>
      <c r="D132" s="2" t="inlineStr">
        <is>
          <t>VTV</t>
        </is>
      </c>
      <c r="E132" t="inlineStr">
        <is>
          <t>IRA</t>
        </is>
      </c>
      <c r="G132" s="182" t="n">
        <v>162.55</v>
      </c>
      <c r="H132" s="183" t="n">
        <v>20706800</v>
      </c>
      <c r="I132" s="181" t="n">
        <v>0.01283568</v>
      </c>
      <c r="J132" s="181" t="n">
        <v>0.08645886999999999</v>
      </c>
      <c r="K132" s="181" t="n">
        <v>0.11754512</v>
      </c>
      <c r="L132" s="181" t="n">
        <v>0.57538721</v>
      </c>
      <c r="M132" s="181" t="n">
        <v>0.45085385</v>
      </c>
      <c r="N132" s="181" t="n">
        <v>2.32013544</v>
      </c>
    </row>
    <row r="133">
      <c r="A133" t="inlineStr">
        <is>
          <t xml:space="preserve">Berkshire Hathaway Inc Class B </t>
        </is>
      </c>
      <c r="B133" t="inlineStr">
        <is>
          <t>BRK.B</t>
        </is>
      </c>
      <c r="C133" s="4" t="n">
        <v>0.0286</v>
      </c>
      <c r="D133" s="2" t="inlineStr">
        <is>
          <t>VTV</t>
        </is>
      </c>
      <c r="E133" t="inlineStr">
        <is>
          <t>IRA</t>
        </is>
      </c>
      <c r="G133" s="182" t="n">
        <v>480.46</v>
      </c>
      <c r="H133" s="183" t="n">
        <v>5586100</v>
      </c>
      <c r="I133" s="181" t="n">
        <v>-0.01621691</v>
      </c>
      <c r="J133" s="181" t="n">
        <v>-0.00927912</v>
      </c>
      <c r="K133" s="181" t="n">
        <v>0.01238991</v>
      </c>
      <c r="L133" s="181" t="n">
        <v>-0.06231586</v>
      </c>
      <c r="M133" s="181" t="n">
        <v>0.15234803</v>
      </c>
      <c r="N133" s="181" t="n">
        <v>0.67565296</v>
      </c>
    </row>
    <row r="134">
      <c r="A134" t="inlineStr">
        <is>
          <t xml:space="preserve">JPMorgan Chase &amp; Co </t>
        </is>
      </c>
      <c r="B134" t="inlineStr">
        <is>
          <t>JPM</t>
        </is>
      </c>
      <c r="C134" s="4" t="n">
        <v>0.0309</v>
      </c>
      <c r="D134" s="2" t="inlineStr">
        <is>
          <t>VTV</t>
        </is>
      </c>
      <c r="E134" t="inlineStr">
        <is>
          <t>IRA</t>
        </is>
      </c>
      <c r="G134" s="182" t="n">
        <v>295.7</v>
      </c>
      <c r="H134" s="183" t="n">
        <v>8062500</v>
      </c>
      <c r="I134" s="181" t="n">
        <v>-0.01672596</v>
      </c>
      <c r="J134" s="181" t="n">
        <v>-0.03011018</v>
      </c>
      <c r="K134" s="181" t="n">
        <v>-0.04702052</v>
      </c>
      <c r="L134" s="181" t="n">
        <v>0.13806554</v>
      </c>
      <c r="M134" s="181" t="n">
        <v>0.50613814</v>
      </c>
      <c r="N134" s="181" t="n">
        <v>1.08621487</v>
      </c>
    </row>
    <row r="135">
      <c r="A135" t="inlineStr">
        <is>
          <t>Other</t>
        </is>
      </c>
      <c r="B135" t="inlineStr">
        <is>
          <t>OTH</t>
        </is>
      </c>
      <c r="C135" s="4">
        <f>100%-(SUM(C125:C134))</f>
        <v/>
      </c>
      <c r="D135" s="2" t="inlineStr">
        <is>
          <t>VTV</t>
        </is>
      </c>
      <c r="E135" t="inlineStr">
        <is>
          <t>IRA</t>
        </is>
      </c>
      <c r="G135" s="182">
        <f>IF($B135="","",IFERROR(XLOOKUP($B135,'Daily Update'!$A:$A,'Daily Update'!$C:$C),""))</f>
        <v/>
      </c>
      <c r="H135" s="183">
        <f>IF($B135="","",IFERROR(XLOOKUP($B135,'Daily Update'!$A:$A,'Daily Update'!$D:$D),""))</f>
        <v/>
      </c>
      <c r="I135" s="181">
        <f>IF($B135="","",IFERROR(XLOOKUP($B135,'Daily Update'!$A:$A,'Daily Update'!$E:$E),""))</f>
        <v/>
      </c>
      <c r="J135" s="181">
        <f>IF($B135="","",IFERROR(XLOOKUP($B135,'Daily Update'!$A:$A,'Daily Update'!$F:$F),""))</f>
        <v/>
      </c>
      <c r="K135" s="181">
        <f>IF($B135="","",IFERROR(XLOOKUP($B135,'Daily Update'!$A:$A,'Daily Update'!$G:$G),""))</f>
        <v/>
      </c>
      <c r="L135" s="181">
        <f>IF($B135="","",IFERROR(XLOOKUP($B135,'Daily Update'!$A:$A,'Daily Update'!$H:$H),""))</f>
        <v/>
      </c>
      <c r="M135" s="181">
        <f>IF($B135="","",IFERROR(XLOOKUP($B135,'Daily Update'!$A:$A,'Daily Update'!$I:$I),""))</f>
        <v/>
      </c>
      <c r="N135" s="181">
        <f>IF($B135="","",IFERROR(XLOOKUP($B135,'Daily Update'!$A:$A,'Daily Update'!$J:$J),""))</f>
        <v/>
      </c>
    </row>
    <row r="136">
      <c r="G136" s="182">
        <f>IF($B136="","",IFERROR(XLOOKUP($B136,'Daily Update'!$A:$A,'Daily Update'!$C:$C),""))</f>
        <v/>
      </c>
      <c r="H136" s="183">
        <f>IF($B136="","",IFERROR(XLOOKUP($B136,'Daily Update'!$A:$A,'Daily Update'!$D:$D),""))</f>
        <v/>
      </c>
      <c r="I136" s="181">
        <f>IF($B136="","",IFERROR(XLOOKUP($B136,'Daily Update'!$A:$A,'Daily Update'!$E:$E),""))</f>
        <v/>
      </c>
      <c r="J136" s="181">
        <f>IF($B136="","",IFERROR(XLOOKUP($B136,'Daily Update'!$A:$A,'Daily Update'!$F:$F),""))</f>
        <v/>
      </c>
      <c r="K136" s="181">
        <f>IF($B136="","",IFERROR(XLOOKUP($B136,'Daily Update'!$A:$A,'Daily Update'!$G:$G),""))</f>
        <v/>
      </c>
      <c r="L136" s="181">
        <f>IF($B136="","",IFERROR(XLOOKUP($B136,'Daily Update'!$A:$A,'Daily Update'!$H:$H),""))</f>
        <v/>
      </c>
      <c r="M136" s="181">
        <f>IF($B136="","",IFERROR(XLOOKUP($B136,'Daily Update'!$A:$A,'Daily Update'!$I:$I),""))</f>
        <v/>
      </c>
      <c r="N136" s="181">
        <f>IF($B136="","",IFERROR(XLOOKUP($B136,'Daily Update'!$A:$A,'Daily Update'!$J:$J),""))</f>
        <v/>
      </c>
    </row>
    <row r="137">
      <c r="A137" s="38" t="inlineStr">
        <is>
          <t>CAPITAL GROUP DIVIDEND VALUE ETF</t>
        </is>
      </c>
      <c r="B137" s="8" t="inlineStr">
        <is>
          <t>CGDV</t>
        </is>
      </c>
      <c r="C137" s="7">
        <f>SUM(C138:C148)</f>
        <v/>
      </c>
      <c r="D137" s="8" t="inlineStr">
        <is>
          <t>CGDV</t>
        </is>
      </c>
      <c r="E137" s="38" t="inlineStr">
        <is>
          <t>IRA</t>
        </is>
      </c>
      <c r="F137" s="38" t="n"/>
      <c r="G137" s="182" t="n">
        <v>47.3</v>
      </c>
      <c r="H137" s="183" t="n">
        <v>3302800</v>
      </c>
      <c r="I137" s="181" t="n">
        <v>-0.008385780000000001</v>
      </c>
      <c r="J137" s="181" t="n">
        <v>-0.00379108</v>
      </c>
      <c r="K137" s="181" t="n">
        <v>0.02870813</v>
      </c>
      <c r="L137" s="181" t="n">
        <v>0.28509164</v>
      </c>
      <c r="M137" s="181" t="n">
        <v>0.46729857</v>
      </c>
      <c r="N137" s="181" t="n"/>
    </row>
    <row r="138">
      <c r="A138" t="inlineStr">
        <is>
          <t xml:space="preserve">Eli Lilly and Co </t>
        </is>
      </c>
      <c r="B138" t="inlineStr">
        <is>
          <t>LLY</t>
        </is>
      </c>
      <c r="C138" s="4" t="n">
        <v>0.0278</v>
      </c>
      <c r="D138" s="2" t="inlineStr">
        <is>
          <t>CGDV</t>
        </is>
      </c>
      <c r="E138" t="inlineStr">
        <is>
          <t>IRA</t>
        </is>
      </c>
      <c r="G138" s="182" t="n">
        <v>1021.41</v>
      </c>
      <c r="H138" s="183" t="n">
        <v>3792500</v>
      </c>
      <c r="I138" s="181" t="n">
        <v>0.03372157</v>
      </c>
      <c r="J138" s="181" t="n">
        <v>0.03363901</v>
      </c>
      <c r="K138" s="181" t="n">
        <v>0.10370563</v>
      </c>
      <c r="L138" s="181" t="n">
        <v>0.36223272</v>
      </c>
      <c r="M138" s="181" t="n">
        <v>0.34503312</v>
      </c>
      <c r="N138" s="181" t="n">
        <v>4.36638387</v>
      </c>
    </row>
    <row r="139">
      <c r="A139" t="inlineStr">
        <is>
          <t xml:space="preserve">GE Aerospace </t>
        </is>
      </c>
      <c r="B139" t="inlineStr">
        <is>
          <t>GE</t>
        </is>
      </c>
      <c r="C139" s="4" t="n">
        <v>0.0285</v>
      </c>
      <c r="D139" s="2" t="inlineStr">
        <is>
          <t>CGDV</t>
        </is>
      </c>
      <c r="E139" t="inlineStr">
        <is>
          <t>IRA</t>
        </is>
      </c>
      <c r="G139" s="182" t="n">
        <v>285.28</v>
      </c>
      <c r="H139" s="183" t="n">
        <v>5237500</v>
      </c>
      <c r="I139" s="181" t="n">
        <v>-0.00248257</v>
      </c>
      <c r="J139" s="181" t="n">
        <v>-0.04091448</v>
      </c>
      <c r="K139" s="181" t="n">
        <v>-0.06198009</v>
      </c>
      <c r="L139" s="181" t="n">
        <v>0.21887879</v>
      </c>
      <c r="M139" s="181" t="n">
        <v>0.80565244</v>
      </c>
      <c r="N139" s="181" t="n">
        <v>3.48659683</v>
      </c>
    </row>
    <row r="140">
      <c r="A140" t="inlineStr">
        <is>
          <t xml:space="preserve">RTX Corp </t>
        </is>
      </c>
      <c r="B140" t="inlineStr">
        <is>
          <t>RTX</t>
        </is>
      </c>
      <c r="C140" s="4" t="n">
        <v>0.0288</v>
      </c>
      <c r="D140" s="2" t="inlineStr">
        <is>
          <t>CGDV</t>
        </is>
      </c>
      <c r="E140" t="inlineStr">
        <is>
          <t>IRA</t>
        </is>
      </c>
      <c r="G140" s="182" t="n">
        <v>174.49</v>
      </c>
      <c r="H140" s="183" t="n">
        <v>5576000</v>
      </c>
      <c r="I140" s="181" t="n">
        <v>-0.00829776</v>
      </c>
      <c r="J140" s="181" t="n">
        <v>-0.02459609</v>
      </c>
      <c r="K140" s="181" t="n">
        <v>-0.11164847</v>
      </c>
      <c r="L140" s="181" t="n">
        <v>0.29326186</v>
      </c>
      <c r="M140" s="181" t="n">
        <v>0.73010849</v>
      </c>
      <c r="N140" s="181" t="n">
        <v>1.27598158</v>
      </c>
    </row>
    <row r="141">
      <c r="A141" t="inlineStr">
        <is>
          <t xml:space="preserve">Meta Platforms Inc Class A </t>
        </is>
      </c>
      <c r="B141" t="inlineStr">
        <is>
          <t>META</t>
        </is>
      </c>
      <c r="C141" s="4" t="n">
        <v>0.0304</v>
      </c>
      <c r="D141" s="2" t="inlineStr">
        <is>
          <t>CGDV</t>
        </is>
      </c>
      <c r="E141" t="inlineStr">
        <is>
          <t>IRA</t>
        </is>
      </c>
      <c r="G141" s="182" t="n">
        <v>602.61</v>
      </c>
      <c r="H141" s="183" t="n">
        <v>11720900</v>
      </c>
      <c r="I141" s="181" t="n">
        <v>-0.01407051</v>
      </c>
      <c r="J141" s="181" t="n">
        <v>-0.00064679</v>
      </c>
      <c r="K141" s="181" t="n">
        <v>-0.12481302</v>
      </c>
      <c r="L141" s="181" t="n">
        <v>-0.05611858</v>
      </c>
      <c r="M141" s="181" t="n">
        <v>0.28561643</v>
      </c>
      <c r="N141" s="181" t="n">
        <v>0.90621436</v>
      </c>
    </row>
    <row r="142">
      <c r="A142" t="inlineStr">
        <is>
          <t xml:space="preserve">Applied Materials Inc </t>
        </is>
      </c>
      <c r="B142" t="inlineStr">
        <is>
          <t>AMAT</t>
        </is>
      </c>
      <c r="C142" s="4" t="n">
        <v>0.0319</v>
      </c>
      <c r="D142" s="2" t="inlineStr">
        <is>
          <t>CGDV</t>
        </is>
      </c>
      <c r="E142" t="inlineStr">
        <is>
          <t>IRA</t>
        </is>
      </c>
      <c r="G142" s="182" t="n">
        <v>406.91</v>
      </c>
      <c r="H142" s="183" t="n">
        <v>8412100</v>
      </c>
      <c r="I142" s="181" t="n">
        <v>-0.01610369</v>
      </c>
      <c r="J142" s="181" t="n">
        <v>-0.05633119</v>
      </c>
      <c r="K142" s="181" t="n">
        <v>0.02511715</v>
      </c>
      <c r="L142" s="181" t="n">
        <v>1.47408796</v>
      </c>
      <c r="M142" s="181" t="n">
        <v>0.95212847</v>
      </c>
      <c r="N142" s="181" t="n">
        <v>2.25862079</v>
      </c>
    </row>
    <row r="143">
      <c r="A143" t="inlineStr">
        <is>
          <t xml:space="preserve">Carrier Global Corp Ordinary Shares </t>
        </is>
      </c>
      <c r="B143" t="inlineStr">
        <is>
          <t>CARR</t>
        </is>
      </c>
      <c r="C143" s="4" t="n">
        <v>0.0327</v>
      </c>
      <c r="D143" s="2" t="inlineStr">
        <is>
          <t>CGDV</t>
        </is>
      </c>
      <c r="E143" t="inlineStr">
        <is>
          <t>IRA</t>
        </is>
      </c>
      <c r="G143" s="182" t="n">
        <v>61.44</v>
      </c>
      <c r="H143" s="183" t="n">
        <v>7208600</v>
      </c>
      <c r="I143" s="181" t="n">
        <v>-0.04758957</v>
      </c>
      <c r="J143" s="181" t="n">
        <v>-0.06284318</v>
      </c>
      <c r="K143" s="181" t="n">
        <v>0.00552579</v>
      </c>
      <c r="L143" s="181" t="n">
        <v>-0.17783877</v>
      </c>
      <c r="M143" s="181" t="n">
        <v>-0.03252286</v>
      </c>
      <c r="N143" s="181" t="n">
        <v>0.50113591</v>
      </c>
    </row>
    <row r="144">
      <c r="A144" t="inlineStr">
        <is>
          <t xml:space="preserve">Alphabet Inc Class A </t>
        </is>
      </c>
      <c r="B144" t="inlineStr">
        <is>
          <t>GOOGL</t>
        </is>
      </c>
      <c r="C144" s="4" t="n">
        <v>0.0341</v>
      </c>
      <c r="D144" s="2" t="inlineStr">
        <is>
          <t>CGDV</t>
        </is>
      </c>
      <c r="E144" t="inlineStr">
        <is>
          <t>IRA</t>
        </is>
      </c>
      <c r="G144" s="182" t="n">
        <v>387.66</v>
      </c>
      <c r="H144" s="183" t="n">
        <v>39458400</v>
      </c>
      <c r="I144" s="181" t="n">
        <v>-0.02337884</v>
      </c>
      <c r="J144" s="181" t="n">
        <v>0.0008003</v>
      </c>
      <c r="K144" s="181" t="n">
        <v>0.13457039</v>
      </c>
      <c r="L144" s="181" t="n">
        <v>1.33580064</v>
      </c>
      <c r="M144" s="181" t="n">
        <v>1.22006163</v>
      </c>
      <c r="N144" s="181" t="n">
        <v>2.38857827</v>
      </c>
    </row>
    <row r="145">
      <c r="A145" t="inlineStr">
        <is>
          <t xml:space="preserve">Microsoft Corp </t>
        </is>
      </c>
      <c r="B145" t="inlineStr">
        <is>
          <t>MSFT</t>
        </is>
      </c>
      <c r="C145" s="4" t="n">
        <v>0.0548</v>
      </c>
      <c r="D145" s="2" t="inlineStr">
        <is>
          <t>CGDV</t>
        </is>
      </c>
      <c r="E145" t="inlineStr">
        <is>
          <t>IRA</t>
        </is>
      </c>
      <c r="G145" s="182" t="n">
        <v>417.42</v>
      </c>
      <c r="H145" s="183" t="n">
        <v>32942800</v>
      </c>
      <c r="I145" s="181" t="n">
        <v>-0.01444963</v>
      </c>
      <c r="J145" s="181" t="n">
        <v>0.02366536</v>
      </c>
      <c r="K145" s="181" t="n">
        <v>-0.01270133</v>
      </c>
      <c r="L145" s="181" t="n">
        <v>-0.08504617</v>
      </c>
      <c r="M145" s="181" t="n">
        <v>0.00679123</v>
      </c>
      <c r="N145" s="181" t="n">
        <v>0.76083236</v>
      </c>
    </row>
    <row r="146">
      <c r="A146" t="inlineStr">
        <is>
          <t xml:space="preserve">NVIDIA Corp </t>
        </is>
      </c>
      <c r="B146" t="inlineStr">
        <is>
          <t>NVDA</t>
        </is>
      </c>
      <c r="C146" s="4" t="n">
        <v>0.055</v>
      </c>
      <c r="D146" s="2" t="inlineStr">
        <is>
          <t>CGDV</t>
        </is>
      </c>
      <c r="E146" t="inlineStr">
        <is>
          <t>IRA</t>
        </is>
      </c>
      <c r="G146" s="182" t="n">
        <v>220.61</v>
      </c>
      <c r="H146" s="183" t="n">
        <v>140201600</v>
      </c>
      <c r="I146" s="181" t="n">
        <v>-0.00769165</v>
      </c>
      <c r="J146" s="181" t="n">
        <v>-0.00076999</v>
      </c>
      <c r="K146" s="181" t="n">
        <v>0.09386161</v>
      </c>
      <c r="L146" s="181" t="n">
        <v>0.62766095</v>
      </c>
      <c r="M146" s="181" t="n">
        <v>1.38686075</v>
      </c>
      <c r="N146" s="181" t="n">
        <v>14.1353981</v>
      </c>
    </row>
    <row r="147">
      <c r="A147" t="inlineStr">
        <is>
          <t xml:space="preserve">Broadcom Inc </t>
        </is>
      </c>
      <c r="B147" t="inlineStr">
        <is>
          <t>AVGO</t>
        </is>
      </c>
      <c r="C147" s="4" t="n">
        <v>0.0557</v>
      </c>
      <c r="D147" s="2" t="inlineStr">
        <is>
          <t>CGDV</t>
        </is>
      </c>
      <c r="E147" t="inlineStr">
        <is>
          <t>IRA</t>
        </is>
      </c>
      <c r="G147" s="182" t="n">
        <v>411.07</v>
      </c>
      <c r="H147" s="183" t="n">
        <v>20620900</v>
      </c>
      <c r="I147" s="181" t="n">
        <v>-0.02291361</v>
      </c>
      <c r="J147" s="181" t="n">
        <v>-0.01962791</v>
      </c>
      <c r="K147" s="181" t="n">
        <v>0.01114281</v>
      </c>
      <c r="L147" s="181" t="n">
        <v>0.7968204800000001</v>
      </c>
      <c r="M147" s="181" t="n">
        <v>2.00630568</v>
      </c>
      <c r="N147" s="181" t="n">
        <v>8.985732649999999</v>
      </c>
    </row>
    <row r="148">
      <c r="A148" t="inlineStr">
        <is>
          <t>Other</t>
        </is>
      </c>
      <c r="B148" t="inlineStr">
        <is>
          <t>OTH</t>
        </is>
      </c>
      <c r="C148" s="4">
        <f>100%-(SUM(C138:C147))</f>
        <v/>
      </c>
      <c r="D148" s="2" t="inlineStr">
        <is>
          <t>CGDV</t>
        </is>
      </c>
      <c r="E148" t="inlineStr">
        <is>
          <t>IRA</t>
        </is>
      </c>
      <c r="G148" s="182">
        <f>IF($B148="","",IFERROR(XLOOKUP($B148,'Daily Update'!$A:$A,'Daily Update'!$C:$C),""))</f>
        <v/>
      </c>
      <c r="H148" s="183">
        <f>IF($B148="","",IFERROR(XLOOKUP($B148,'Daily Update'!$A:$A,'Daily Update'!$D:$D),""))</f>
        <v/>
      </c>
      <c r="I148" s="181">
        <f>IF($B148="","",IFERROR(XLOOKUP($B148,'Daily Update'!$A:$A,'Daily Update'!$E:$E),""))</f>
        <v/>
      </c>
      <c r="J148" s="181">
        <f>IF($B148="","",IFERROR(XLOOKUP($B148,'Daily Update'!$A:$A,'Daily Update'!$F:$F),""))</f>
        <v/>
      </c>
      <c r="K148" s="181">
        <f>IF($B148="","",IFERROR(XLOOKUP($B148,'Daily Update'!$A:$A,'Daily Update'!$G:$G),""))</f>
        <v/>
      </c>
      <c r="L148" s="181">
        <f>IF($B148="","",IFERROR(XLOOKUP($B148,'Daily Update'!$A:$A,'Daily Update'!$H:$H),""))</f>
        <v/>
      </c>
      <c r="M148" s="181">
        <f>IF($B148="","",IFERROR(XLOOKUP($B148,'Daily Update'!$A:$A,'Daily Update'!$I:$I),""))</f>
        <v/>
      </c>
      <c r="N148" s="181">
        <f>IF($B148="","",IFERROR(XLOOKUP($B148,'Daily Update'!$A:$A,'Daily Update'!$J:$J),""))</f>
        <v/>
      </c>
    </row>
    <row r="149">
      <c r="D149" s="2" t="n"/>
      <c r="G149" s="182">
        <f>IF($B149="","",IFERROR(XLOOKUP($B149,'Daily Update'!$A:$A,'Daily Update'!$C:$C),""))</f>
        <v/>
      </c>
      <c r="H149" s="183">
        <f>IF($B149="","",IFERROR(XLOOKUP($B149,'Daily Update'!$A:$A,'Daily Update'!$D:$D),""))</f>
        <v/>
      </c>
      <c r="I149" s="181">
        <f>IF($B149="","",IFERROR(XLOOKUP($B149,'Daily Update'!$A:$A,'Daily Update'!$E:$E),""))</f>
        <v/>
      </c>
      <c r="J149" s="181">
        <f>IF($B149="","",IFERROR(XLOOKUP($B149,'Daily Update'!$A:$A,'Daily Update'!$F:$F),""))</f>
        <v/>
      </c>
      <c r="K149" s="181">
        <f>IF($B149="","",IFERROR(XLOOKUP($B149,'Daily Update'!$A:$A,'Daily Update'!$G:$G),""))</f>
        <v/>
      </c>
      <c r="L149" s="181">
        <f>IF($B149="","",IFERROR(XLOOKUP($B149,'Daily Update'!$A:$A,'Daily Update'!$H:$H),""))</f>
        <v/>
      </c>
      <c r="M149" s="181">
        <f>IF($B149="","",IFERROR(XLOOKUP($B149,'Daily Update'!$A:$A,'Daily Update'!$I:$I),""))</f>
        <v/>
      </c>
      <c r="N149" s="181">
        <f>IF($B149="","",IFERROR(XLOOKUP($B149,'Daily Update'!$A:$A,'Daily Update'!$J:$J),""))</f>
        <v/>
      </c>
    </row>
    <row r="150">
      <c r="A150" s="38" t="inlineStr">
        <is>
          <t>AMPLIFY ETF TR AMPLIFY CWP ENHANCED DIVIDEND INCOME ETF</t>
        </is>
      </c>
      <c r="B150" s="8" t="inlineStr">
        <is>
          <t>DIVO</t>
        </is>
      </c>
      <c r="C150" s="7">
        <f>SUM(C151:C161)</f>
        <v/>
      </c>
      <c r="D150" s="8" t="inlineStr">
        <is>
          <t>DIVO</t>
        </is>
      </c>
      <c r="E150" s="38" t="inlineStr">
        <is>
          <t>IRA</t>
        </is>
      </c>
      <c r="F150" s="38" t="n"/>
      <c r="G150" s="182" t="n">
        <v>45.5</v>
      </c>
      <c r="H150" s="183" t="n">
        <v>601600</v>
      </c>
      <c r="I150" s="181" t="n">
        <v>-0.00241177</v>
      </c>
      <c r="J150" s="181" t="n">
        <v>-0.00219295</v>
      </c>
      <c r="K150" s="181" t="n">
        <v>-0.01313364</v>
      </c>
      <c r="L150" s="181" t="n">
        <v>0.16784289</v>
      </c>
      <c r="M150" s="181" t="n">
        <v>0.29841785</v>
      </c>
      <c r="N150" s="181" t="n">
        <v>0.64779606</v>
      </c>
    </row>
    <row r="151">
      <c r="A151" t="inlineStr">
        <is>
          <t xml:space="preserve">Visa Inc Class A </t>
        </is>
      </c>
      <c r="B151" t="inlineStr">
        <is>
          <t>V</t>
        </is>
      </c>
      <c r="C151" s="4" t="n">
        <v>0.0428</v>
      </c>
      <c r="D151" s="2" t="inlineStr">
        <is>
          <t>DIVO</t>
        </is>
      </c>
      <c r="E151" t="inlineStr">
        <is>
          <t>IRA</t>
        </is>
      </c>
      <c r="G151" s="182" t="n">
        <v>329.91</v>
      </c>
      <c r="H151" s="183" t="n">
        <v>12855800</v>
      </c>
      <c r="I151" s="181" t="n">
        <v>-0.0082071</v>
      </c>
      <c r="J151" s="181" t="n">
        <v>0.01069172</v>
      </c>
      <c r="K151" s="181" t="n">
        <v>0.04281733</v>
      </c>
      <c r="L151" s="181" t="n">
        <v>-0.09617854000000001</v>
      </c>
      <c r="M151" s="181" t="n">
        <v>0.19576281</v>
      </c>
      <c r="N151" s="181" t="n">
        <v>0.51244849</v>
      </c>
    </row>
    <row r="152">
      <c r="A152" t="inlineStr">
        <is>
          <t xml:space="preserve">Amplify Samsung SOFR ETF </t>
        </is>
      </c>
      <c r="B152" t="inlineStr">
        <is>
          <t>SOFR</t>
        </is>
      </c>
      <c r="C152" s="4" t="n">
        <v>0.043</v>
      </c>
      <c r="D152" s="2" t="inlineStr">
        <is>
          <t>DIVO</t>
        </is>
      </c>
      <c r="E152" t="inlineStr">
        <is>
          <t>IRA</t>
        </is>
      </c>
      <c r="G152" s="182" t="n">
        <v>100.32</v>
      </c>
      <c r="H152" s="183" t="n">
        <v>8400</v>
      </c>
      <c r="I152" s="181" t="n">
        <v>0.00014954</v>
      </c>
      <c r="J152" s="181" t="n">
        <v>0.00049868</v>
      </c>
      <c r="K152" s="181" t="n">
        <v>0.00323521</v>
      </c>
      <c r="L152" s="181" t="n">
        <v>0.03980712</v>
      </c>
      <c r="M152" s="181" t="n">
        <v>0.08981388999999999</v>
      </c>
      <c r="N152" s="181" t="n"/>
    </row>
    <row r="153">
      <c r="A153" t="inlineStr">
        <is>
          <t xml:space="preserve">RTX Corp </t>
        </is>
      </c>
      <c r="B153" t="inlineStr">
        <is>
          <t>RTX</t>
        </is>
      </c>
      <c r="C153" s="4" t="n">
        <v>0.0472</v>
      </c>
      <c r="D153" s="2" t="inlineStr">
        <is>
          <t>DIVO</t>
        </is>
      </c>
      <c r="E153" t="inlineStr">
        <is>
          <t>IRA</t>
        </is>
      </c>
      <c r="G153" s="182" t="n">
        <v>174.49</v>
      </c>
      <c r="H153" s="183" t="n">
        <v>5576000</v>
      </c>
      <c r="I153" s="181" t="n">
        <v>-0.00829776</v>
      </c>
      <c r="J153" s="181" t="n">
        <v>-0.02459609</v>
      </c>
      <c r="K153" s="181" t="n">
        <v>-0.11164847</v>
      </c>
      <c r="L153" s="181" t="n">
        <v>0.29326186</v>
      </c>
      <c r="M153" s="181" t="n">
        <v>0.73010849</v>
      </c>
      <c r="N153" s="181" t="n">
        <v>1.27598158</v>
      </c>
    </row>
    <row r="154">
      <c r="A154" t="inlineStr">
        <is>
          <t xml:space="preserve">TJX Companies Inc </t>
        </is>
      </c>
      <c r="B154" t="inlineStr">
        <is>
          <t>TJX</t>
        </is>
      </c>
      <c r="C154" s="4" t="n">
        <v>0.0473</v>
      </c>
      <c r="D154" s="2" t="inlineStr">
        <is>
          <t>DIVO</t>
        </is>
      </c>
      <c r="E154" t="inlineStr">
        <is>
          <t>IRA</t>
        </is>
      </c>
      <c r="G154" s="182" t="n">
        <v>150.68</v>
      </c>
      <c r="H154" s="183" t="n">
        <v>8725100</v>
      </c>
      <c r="I154" s="181" t="n">
        <v>0.00286185</v>
      </c>
      <c r="J154" s="181" t="n">
        <v>0.0060797</v>
      </c>
      <c r="K154" s="181" t="n">
        <v>-0.05916399</v>
      </c>
      <c r="L154" s="181" t="n">
        <v>0.12954169</v>
      </c>
      <c r="M154" s="181" t="n">
        <v>0.54041134</v>
      </c>
      <c r="N154" s="181" t="n">
        <v>1.40554302</v>
      </c>
    </row>
    <row r="155">
      <c r="A155" t="inlineStr">
        <is>
          <t xml:space="preserve">The Goldman Sachs Group Inc </t>
        </is>
      </c>
      <c r="B155" t="inlineStr">
        <is>
          <t>GS</t>
        </is>
      </c>
      <c r="C155" s="4" t="n">
        <v>0.0488</v>
      </c>
      <c r="D155" s="2" t="inlineStr">
        <is>
          <t>DIVO</t>
        </is>
      </c>
      <c r="E155" t="inlineStr">
        <is>
          <t>IRA</t>
        </is>
      </c>
      <c r="G155" s="182" t="n">
        <v>928.74</v>
      </c>
      <c r="H155" s="183" t="n">
        <v>1758000</v>
      </c>
      <c r="I155" s="181" t="n">
        <v>-0.0186187</v>
      </c>
      <c r="J155" s="181" t="n">
        <v>-0.01814149</v>
      </c>
      <c r="K155" s="181" t="n">
        <v>0.0030131</v>
      </c>
      <c r="L155" s="181" t="n">
        <v>0.5482291500000001</v>
      </c>
      <c r="M155" s="181" t="n">
        <v>1.07152359</v>
      </c>
      <c r="N155" s="181" t="n">
        <v>1.91085842</v>
      </c>
    </row>
    <row r="156">
      <c r="A156" t="inlineStr">
        <is>
          <t xml:space="preserve">JPMorgan Chase &amp; Co </t>
        </is>
      </c>
      <c r="B156" t="inlineStr">
        <is>
          <t>JPM</t>
        </is>
      </c>
      <c r="C156" s="4" t="n">
        <v>0.0492</v>
      </c>
      <c r="D156" s="2" t="inlineStr">
        <is>
          <t>DIVO</t>
        </is>
      </c>
      <c r="E156" t="inlineStr">
        <is>
          <t>IRA</t>
        </is>
      </c>
      <c r="G156" s="182" t="n">
        <v>295.7</v>
      </c>
      <c r="H156" s="183" t="n">
        <v>8062500</v>
      </c>
      <c r="I156" s="181" t="n">
        <v>-0.01672596</v>
      </c>
      <c r="J156" s="181" t="n">
        <v>-0.03011018</v>
      </c>
      <c r="K156" s="181" t="n">
        <v>-0.04702052</v>
      </c>
      <c r="L156" s="181" t="n">
        <v>0.13806554</v>
      </c>
      <c r="M156" s="181" t="n">
        <v>0.50613814</v>
      </c>
      <c r="N156" s="181" t="n">
        <v>1.08621487</v>
      </c>
    </row>
    <row r="157">
      <c r="A157" t="inlineStr">
        <is>
          <t xml:space="preserve">American Express Co </t>
        </is>
      </c>
      <c r="B157" t="inlineStr">
        <is>
          <t>AXP</t>
        </is>
      </c>
      <c r="C157" s="4" t="n">
        <v>0.0507</v>
      </c>
      <c r="D157" s="2" t="inlineStr">
        <is>
          <t>DIVO</t>
        </is>
      </c>
      <c r="E157" t="inlineStr">
        <is>
          <t>IRA</t>
        </is>
      </c>
      <c r="G157" s="182" t="n">
        <v>309.31</v>
      </c>
      <c r="H157" s="183" t="n">
        <v>2917400</v>
      </c>
      <c r="I157" s="181" t="n">
        <v>-0.00938378</v>
      </c>
      <c r="J157" s="181" t="n">
        <v>-0.01590786</v>
      </c>
      <c r="K157" s="181" t="n">
        <v>-0.06747265</v>
      </c>
      <c r="L157" s="181" t="n">
        <v>0.04427737</v>
      </c>
      <c r="M157" s="181" t="n">
        <v>0.30173448</v>
      </c>
      <c r="N157" s="181" t="n">
        <v>1.11309837</v>
      </c>
    </row>
    <row r="158">
      <c r="A158" t="inlineStr">
        <is>
          <t xml:space="preserve">Apple Inc </t>
        </is>
      </c>
      <c r="B158" t="inlineStr">
        <is>
          <t>AAPL</t>
        </is>
      </c>
      <c r="C158" s="4" t="n">
        <v>0.0508</v>
      </c>
      <c r="D158" s="2" t="inlineStr">
        <is>
          <t>DIVO</t>
        </is>
      </c>
      <c r="E158" t="inlineStr">
        <is>
          <t>IRA</t>
        </is>
      </c>
      <c r="G158" s="182" t="n">
        <v>298.97</v>
      </c>
      <c r="H158" s="183" t="n">
        <v>42199700</v>
      </c>
      <c r="I158" s="181" t="n">
        <v>0.003794</v>
      </c>
      <c r="J158" s="181" t="n">
        <v>0.01414523</v>
      </c>
      <c r="K158" s="181" t="n">
        <v>0.10737315</v>
      </c>
      <c r="L158" s="181" t="n">
        <v>0.43766669</v>
      </c>
      <c r="M158" s="181" t="n">
        <v>0.5882436599999999</v>
      </c>
      <c r="N158" s="181" t="n">
        <v>1.40918958</v>
      </c>
    </row>
    <row r="159">
      <c r="A159" t="inlineStr">
        <is>
          <t xml:space="preserve">Microsoft Corp </t>
        </is>
      </c>
      <c r="B159" t="inlineStr">
        <is>
          <t>MSFT</t>
        </is>
      </c>
      <c r="C159" s="4" t="n">
        <v>0.0549</v>
      </c>
      <c r="D159" s="2" t="inlineStr">
        <is>
          <t>DIVO</t>
        </is>
      </c>
      <c r="E159" t="inlineStr">
        <is>
          <t>IRA</t>
        </is>
      </c>
      <c r="G159" s="182" t="n">
        <v>417.42</v>
      </c>
      <c r="H159" s="183" t="n">
        <v>32942800</v>
      </c>
      <c r="I159" s="181" t="n">
        <v>-0.01444963</v>
      </c>
      <c r="J159" s="181" t="n">
        <v>0.02366536</v>
      </c>
      <c r="K159" s="181" t="n">
        <v>-0.01270133</v>
      </c>
      <c r="L159" s="181" t="n">
        <v>-0.08504617</v>
      </c>
      <c r="M159" s="181" t="n">
        <v>0.00679123</v>
      </c>
      <c r="N159" s="181" t="n">
        <v>0.76083236</v>
      </c>
    </row>
    <row r="160">
      <c r="A160" t="inlineStr">
        <is>
          <t xml:space="preserve">Caterpillar Inc </t>
        </is>
      </c>
      <c r="B160" t="inlineStr">
        <is>
          <t>CAT</t>
        </is>
      </c>
      <c r="C160" s="4" t="n">
        <v>0.062</v>
      </c>
      <c r="D160" s="2" t="inlineStr">
        <is>
          <t>DIVO</t>
        </is>
      </c>
      <c r="E160" t="inlineStr">
        <is>
          <t>IRA</t>
        </is>
      </c>
      <c r="G160" s="182" t="n">
        <v>860.15</v>
      </c>
      <c r="H160" s="183" t="n">
        <v>3238900</v>
      </c>
      <c r="I160" s="181" t="n">
        <v>-0.00439839</v>
      </c>
      <c r="J160" s="181" t="n">
        <v>-0.05699782</v>
      </c>
      <c r="K160" s="181" t="n">
        <v>0.08448699</v>
      </c>
      <c r="L160" s="181" t="n">
        <v>1.46606084</v>
      </c>
      <c r="M160" s="181" t="n">
        <v>1.48009231</v>
      </c>
      <c r="N160" s="181" t="n">
        <v>3.00306549</v>
      </c>
    </row>
    <row r="161">
      <c r="A161" t="inlineStr">
        <is>
          <t>Other</t>
        </is>
      </c>
      <c r="B161" t="inlineStr">
        <is>
          <t>OTH</t>
        </is>
      </c>
      <c r="C161" s="4">
        <f>100%-(SUM(C151:C160))</f>
        <v/>
      </c>
      <c r="D161" s="2" t="inlineStr">
        <is>
          <t>DIVO</t>
        </is>
      </c>
      <c r="E161" t="inlineStr">
        <is>
          <t>IRA</t>
        </is>
      </c>
      <c r="G161" s="182">
        <f>IF($B161="","",IFERROR(XLOOKUP($B161,'Daily Update'!$A:$A,'Daily Update'!$C:$C),""))</f>
        <v/>
      </c>
      <c r="H161" s="183">
        <f>IF($B161="","",IFERROR(XLOOKUP($B161,'Daily Update'!$A:$A,'Daily Update'!$D:$D),""))</f>
        <v/>
      </c>
      <c r="I161" s="181">
        <f>IF($B161="","",IFERROR(XLOOKUP($B161,'Daily Update'!$A:$A,'Daily Update'!$E:$E),""))</f>
        <v/>
      </c>
      <c r="J161" s="181">
        <f>IF($B161="","",IFERROR(XLOOKUP($B161,'Daily Update'!$A:$A,'Daily Update'!$F:$F),""))</f>
        <v/>
      </c>
      <c r="K161" s="181">
        <f>IF($B161="","",IFERROR(XLOOKUP($B161,'Daily Update'!$A:$A,'Daily Update'!$G:$G),""))</f>
        <v/>
      </c>
      <c r="L161" s="181">
        <f>IF($B161="","",IFERROR(XLOOKUP($B161,'Daily Update'!$A:$A,'Daily Update'!$H:$H),""))</f>
        <v/>
      </c>
      <c r="M161" s="181">
        <f>IF($B161="","",IFERROR(XLOOKUP($B161,'Daily Update'!$A:$A,'Daily Update'!$I:$I),""))</f>
        <v/>
      </c>
      <c r="N161" s="181">
        <f>IF($B161="","",IFERROR(XLOOKUP($B161,'Daily Update'!$A:$A,'Daily Update'!$J:$J),""))</f>
        <v/>
      </c>
    </row>
    <row r="162">
      <c r="G162" s="182">
        <f>IF($B162="","",IFERROR(XLOOKUP($B162,'Daily Update'!$A:$A,'Daily Update'!$C:$C),""))</f>
        <v/>
      </c>
      <c r="H162" s="183">
        <f>IF($B162="","",IFERROR(XLOOKUP($B162,'Daily Update'!$A:$A,'Daily Update'!$D:$D),""))</f>
        <v/>
      </c>
      <c r="I162" s="181">
        <f>IF($B162="","",IFERROR(XLOOKUP($B162,'Daily Update'!$A:$A,'Daily Update'!$E:$E),""))</f>
        <v/>
      </c>
      <c r="J162" s="181">
        <f>IF($B162="","",IFERROR(XLOOKUP($B162,'Daily Update'!$A:$A,'Daily Update'!$F:$F),""))</f>
        <v/>
      </c>
      <c r="K162" s="181">
        <f>IF($B162="","",IFERROR(XLOOKUP($B162,'Daily Update'!$A:$A,'Daily Update'!$G:$G),""))</f>
        <v/>
      </c>
      <c r="L162" s="181">
        <f>IF($B162="","",IFERROR(XLOOKUP($B162,'Daily Update'!$A:$A,'Daily Update'!$H:$H),""))</f>
        <v/>
      </c>
      <c r="M162" s="181">
        <f>IF($B162="","",IFERROR(XLOOKUP($B162,'Daily Update'!$A:$A,'Daily Update'!$I:$I),""))</f>
        <v/>
      </c>
      <c r="N162" s="181">
        <f>IF($B162="","",IFERROR(XLOOKUP($B162,'Daily Update'!$A:$A,'Daily Update'!$J:$J),""))</f>
        <v/>
      </c>
    </row>
    <row r="163">
      <c r="A163" s="38" t="inlineStr">
        <is>
          <t xml:space="preserve">Fidelity Phillips Street Trust - Fidelity Cash Reserves </t>
        </is>
      </c>
      <c r="B163" s="38" t="inlineStr">
        <is>
          <t>FDRXX</t>
        </is>
      </c>
      <c r="C163" s="7" t="n">
        <v>1</v>
      </c>
      <c r="D163" s="8" t="inlineStr">
        <is>
          <t>FDRXX</t>
        </is>
      </c>
      <c r="E163" s="38" t="inlineStr">
        <is>
          <t>IRA</t>
        </is>
      </c>
      <c r="F163" s="38" t="n"/>
      <c r="G163" s="182" t="n">
        <v>1</v>
      </c>
      <c r="H163" s="183" t="n"/>
      <c r="I163" s="181" t="n"/>
      <c r="J163" s="181" t="n"/>
      <c r="K163" s="181" t="n"/>
      <c r="L163" s="181" t="n"/>
      <c r="M163" s="181" t="n"/>
      <c r="N163" s="181" t="n"/>
    </row>
    <row r="164">
      <c r="G164" s="182">
        <f>IF($B164="","",IFERROR(XLOOKUP($B164,'Daily Update'!$A:$A,'Daily Update'!$C:$C),""))</f>
        <v/>
      </c>
      <c r="H164" s="183">
        <f>IF($B164="","",IFERROR(XLOOKUP($B164,'Daily Update'!$A:$A,'Daily Update'!$D:$D),""))</f>
        <v/>
      </c>
      <c r="I164" s="181">
        <f>IF($B164="","",IFERROR(XLOOKUP($B164,'Daily Update'!$A:$A,'Daily Update'!$E:$E),""))</f>
        <v/>
      </c>
      <c r="J164" s="181">
        <f>IF($B164="","",IFERROR(XLOOKUP($B164,'Daily Update'!$A:$A,'Daily Update'!$F:$F),""))</f>
        <v/>
      </c>
      <c r="K164" s="181">
        <f>IF($B164="","",IFERROR(XLOOKUP($B164,'Daily Update'!$A:$A,'Daily Update'!$G:$G),""))</f>
        <v/>
      </c>
      <c r="L164" s="181">
        <f>IF($B164="","",IFERROR(XLOOKUP($B164,'Daily Update'!$A:$A,'Daily Update'!$H:$H),""))</f>
        <v/>
      </c>
      <c r="M164" s="181">
        <f>IF($B164="","",IFERROR(XLOOKUP($B164,'Daily Update'!$A:$A,'Daily Update'!$I:$I),""))</f>
        <v/>
      </c>
      <c r="N164" s="181">
        <f>IF($B164="","",IFERROR(XLOOKUP($B164,'Daily Update'!$A:$A,'Daily Update'!$J:$J),""))</f>
        <v/>
      </c>
    </row>
    <row r="165">
      <c r="A165" s="38" t="inlineStr">
        <is>
          <t>GLOBAL X FUNDS GLOBAL X ARTIFICIAL INTELLIGENCE &amp; TECHNOLOGY ETF</t>
        </is>
      </c>
      <c r="B165" s="8" t="inlineStr">
        <is>
          <t>AIQ</t>
        </is>
      </c>
      <c r="C165" s="7">
        <f>SUM(C166:C176)</f>
        <v/>
      </c>
      <c r="D165" s="8" t="inlineStr">
        <is>
          <t>AIQ</t>
        </is>
      </c>
      <c r="E165" s="38" t="inlineStr">
        <is>
          <t>ROTH</t>
        </is>
      </c>
      <c r="F165" s="38" t="n"/>
      <c r="G165" s="182" t="n">
        <v>60.4</v>
      </c>
      <c r="H165" s="183" t="n">
        <v>2304900</v>
      </c>
      <c r="I165" s="181" t="n">
        <v>-0.00527009</v>
      </c>
      <c r="J165" s="181" t="n">
        <v>-0.01016059</v>
      </c>
      <c r="K165" s="181" t="n">
        <v>0.11645108</v>
      </c>
      <c r="L165" s="181" t="n">
        <v>0.48045589</v>
      </c>
      <c r="M165" s="181" t="n">
        <v>0.7670941999999999</v>
      </c>
      <c r="N165" s="181" t="n">
        <v>1.1567881</v>
      </c>
    </row>
    <row r="166">
      <c r="A166" t="inlineStr">
        <is>
          <t xml:space="preserve">Amazon.com Inc </t>
        </is>
      </c>
      <c r="B166" t="inlineStr">
        <is>
          <t>AMZN</t>
        </is>
      </c>
      <c r="C166" s="4" t="n">
        <v>0.0323</v>
      </c>
      <c r="D166" s="2" t="inlineStr">
        <is>
          <t>AIQ</t>
        </is>
      </c>
      <c r="E166" t="inlineStr">
        <is>
          <t>ROTH</t>
        </is>
      </c>
      <c r="G166" s="182" t="n">
        <v>259.34</v>
      </c>
      <c r="H166" s="183" t="n">
        <v>40269100</v>
      </c>
      <c r="I166" s="181" t="n">
        <v>-0.02084116</v>
      </c>
      <c r="J166" s="181" t="n">
        <v>-0.02437744</v>
      </c>
      <c r="K166" s="181" t="n">
        <v>0.0350415</v>
      </c>
      <c r="L166" s="181" t="n">
        <v>0.25795495</v>
      </c>
      <c r="M166" s="181" t="n">
        <v>0.40411478</v>
      </c>
      <c r="N166" s="181" t="n">
        <v>0.59707848</v>
      </c>
    </row>
    <row r="167">
      <c r="A167" t="inlineStr">
        <is>
          <t xml:space="preserve">Alphabet Inc Class A </t>
        </is>
      </c>
      <c r="B167" t="inlineStr">
        <is>
          <t>GOOGL</t>
        </is>
      </c>
      <c r="C167" s="4" t="n">
        <v>0.0332</v>
      </c>
      <c r="D167" s="2" t="inlineStr">
        <is>
          <t>AIQ</t>
        </is>
      </c>
      <c r="E167" t="inlineStr">
        <is>
          <t>ROTH</t>
        </is>
      </c>
      <c r="G167" s="182" t="n">
        <v>387.66</v>
      </c>
      <c r="H167" s="183" t="n">
        <v>39458400</v>
      </c>
      <c r="I167" s="181" t="n">
        <v>-0.02337884</v>
      </c>
      <c r="J167" s="181" t="n">
        <v>0.0008003</v>
      </c>
      <c r="K167" s="181" t="n">
        <v>0.13457039</v>
      </c>
      <c r="L167" s="181" t="n">
        <v>1.33580064</v>
      </c>
      <c r="M167" s="181" t="n">
        <v>1.22006163</v>
      </c>
      <c r="N167" s="181" t="n">
        <v>2.38857827</v>
      </c>
    </row>
    <row r="168">
      <c r="A168" t="inlineStr">
        <is>
          <t xml:space="preserve">Taiwan Semiconductor Manufacturing Co Ltd ADR </t>
        </is>
      </c>
      <c r="B168" t="inlineStr">
        <is>
          <t>TSM</t>
        </is>
      </c>
      <c r="C168" s="4" t="n">
        <v>0.0345</v>
      </c>
      <c r="D168" s="2" t="inlineStr">
        <is>
          <t>AIQ</t>
        </is>
      </c>
      <c r="E168" t="inlineStr">
        <is>
          <t>ROTH</t>
        </is>
      </c>
      <c r="G168" s="182" t="n">
        <v>392.61</v>
      </c>
      <c r="H168" s="183" t="n">
        <v>14054400</v>
      </c>
      <c r="I168" s="181" t="n">
        <v>-0.00843548</v>
      </c>
      <c r="J168" s="181" t="n">
        <v>-0.01175497</v>
      </c>
      <c r="K168" s="181" t="n">
        <v>0.05967607</v>
      </c>
      <c r="L168" s="181" t="n">
        <v>1.05412214</v>
      </c>
      <c r="M168" s="181" t="n">
        <v>1.65712899</v>
      </c>
      <c r="N168" s="181" t="n">
        <v>2.76546543</v>
      </c>
    </row>
    <row r="169">
      <c r="A169" t="inlineStr">
        <is>
          <t xml:space="preserve">Cisco Systems Inc </t>
        </is>
      </c>
      <c r="B169" t="inlineStr">
        <is>
          <t>CSCO</t>
        </is>
      </c>
      <c r="C169" s="4" t="n">
        <v>0.0351</v>
      </c>
      <c r="D169" s="2" t="inlineStr">
        <is>
          <t>AIQ</t>
        </is>
      </c>
      <c r="E169" t="inlineStr">
        <is>
          <t>ROTH</t>
        </is>
      </c>
      <c r="G169" s="182" t="n">
        <v>115.38</v>
      </c>
      <c r="H169" s="183" t="n">
        <v>32497400</v>
      </c>
      <c r="I169" s="181" t="n">
        <v>-0.02944145</v>
      </c>
      <c r="J169" s="181" t="n">
        <v>0.16205052</v>
      </c>
      <c r="K169" s="181" t="n">
        <v>0.3377391</v>
      </c>
      <c r="L169" s="181" t="n">
        <v>0.84661667</v>
      </c>
      <c r="M169" s="181" t="n">
        <v>1.52398877</v>
      </c>
      <c r="N169" s="181" t="n">
        <v>1.51880864</v>
      </c>
    </row>
    <row r="170">
      <c r="A170" t="inlineStr">
        <is>
          <t xml:space="preserve">Broadcom Inc </t>
        </is>
      </c>
      <c r="B170" t="inlineStr">
        <is>
          <t>AVGO</t>
        </is>
      </c>
      <c r="C170" s="4" t="n">
        <v>0.0366</v>
      </c>
      <c r="D170" s="2" t="inlineStr">
        <is>
          <t>AIQ</t>
        </is>
      </c>
      <c r="E170" t="inlineStr">
        <is>
          <t>ROTH</t>
        </is>
      </c>
      <c r="G170" s="182" t="n">
        <v>411.07</v>
      </c>
      <c r="H170" s="183" t="n">
        <v>20620900</v>
      </c>
      <c r="I170" s="181" t="n">
        <v>-0.02291361</v>
      </c>
      <c r="J170" s="181" t="n">
        <v>-0.01962791</v>
      </c>
      <c r="K170" s="181" t="n">
        <v>0.01114281</v>
      </c>
      <c r="L170" s="181" t="n">
        <v>0.7968204800000001</v>
      </c>
      <c r="M170" s="181" t="n">
        <v>2.00630568</v>
      </c>
      <c r="N170" s="181" t="n">
        <v>8.985732649999999</v>
      </c>
    </row>
    <row r="171">
      <c r="A171" t="inlineStr">
        <is>
          <t xml:space="preserve">Micron Technology Inc </t>
        </is>
      </c>
      <c r="B171" t="inlineStr">
        <is>
          <t>MU</t>
        </is>
      </c>
      <c r="C171" s="4" t="n">
        <v>0.0371</v>
      </c>
      <c r="D171" s="2" t="inlineStr">
        <is>
          <t>AIQ</t>
        </is>
      </c>
      <c r="E171" t="inlineStr">
        <is>
          <t>ROTH</t>
        </is>
      </c>
      <c r="G171" s="182" t="n">
        <v>698.74</v>
      </c>
      <c r="H171" s="183" t="n">
        <v>61450300</v>
      </c>
      <c r="I171" s="181" t="n">
        <v>0.02523698</v>
      </c>
      <c r="J171" s="181" t="n">
        <v>-0.08849699</v>
      </c>
      <c r="K171" s="181" t="n">
        <v>0.53545604</v>
      </c>
      <c r="L171" s="181" t="n">
        <v>6.09997452</v>
      </c>
      <c r="M171" s="181" t="n">
        <v>4.6161004</v>
      </c>
      <c r="N171" s="181" t="n">
        <v>7.83083375</v>
      </c>
    </row>
    <row r="172">
      <c r="A172" t="inlineStr">
        <is>
          <t xml:space="preserve">Advanced Micro Devices Inc </t>
        </is>
      </c>
      <c r="B172" t="inlineStr">
        <is>
          <t>AMD</t>
        </is>
      </c>
      <c r="C172" s="4" t="n">
        <v>0.0399</v>
      </c>
      <c r="D172" s="2" t="inlineStr">
        <is>
          <t>AIQ</t>
        </is>
      </c>
      <c r="E172" t="inlineStr">
        <is>
          <t>ROTH</t>
        </is>
      </c>
      <c r="G172" s="182" t="n">
        <v>414.05</v>
      </c>
      <c r="H172" s="183" t="n">
        <v>38637700</v>
      </c>
      <c r="I172" s="181" t="n">
        <v>-0.01648496</v>
      </c>
      <c r="J172" s="181" t="n">
        <v>-0.07637917</v>
      </c>
      <c r="K172" s="181" t="n">
        <v>0.48730186</v>
      </c>
      <c r="L172" s="181" t="n">
        <v>2.6085933</v>
      </c>
      <c r="M172" s="181" t="n">
        <v>1.5174803</v>
      </c>
      <c r="N172" s="181" t="n">
        <v>4.30425315</v>
      </c>
    </row>
    <row r="173">
      <c r="A173" t="inlineStr">
        <is>
          <t>Samsung Electronics Co Ltd</t>
        </is>
      </c>
      <c r="C173" s="4" t="n">
        <v>0.0409</v>
      </c>
      <c r="D173" s="2" t="inlineStr">
        <is>
          <t>AIQ</t>
        </is>
      </c>
      <c r="E173" t="inlineStr">
        <is>
          <t>ROTH</t>
        </is>
      </c>
      <c r="G173" s="182">
        <f>IF($B173="","",IFERROR(XLOOKUP($B173,'Daily Update'!$A:$A,'Daily Update'!$C:$C),""))</f>
        <v/>
      </c>
      <c r="H173" s="183">
        <f>IF($B173="","",IFERROR(XLOOKUP($B173,'Daily Update'!$A:$A,'Daily Update'!$D:$D),""))</f>
        <v/>
      </c>
      <c r="I173" s="181">
        <f>IF($B173="","",IFERROR(XLOOKUP($B173,'Daily Update'!$A:$A,'Daily Update'!$E:$E),""))</f>
        <v/>
      </c>
      <c r="J173" s="181">
        <f>IF($B173="","",IFERROR(XLOOKUP($B173,'Daily Update'!$A:$A,'Daily Update'!$F:$F),""))</f>
        <v/>
      </c>
      <c r="K173" s="181">
        <f>IF($B173="","",IFERROR(XLOOKUP($B173,'Daily Update'!$A:$A,'Daily Update'!$G:$G),""))</f>
        <v/>
      </c>
      <c r="L173" s="181">
        <f>IF($B173="","",IFERROR(XLOOKUP($B173,'Daily Update'!$A:$A,'Daily Update'!$H:$H),""))</f>
        <v/>
      </c>
      <c r="M173" s="181">
        <f>IF($B173="","",IFERROR(XLOOKUP($B173,'Daily Update'!$A:$A,'Daily Update'!$I:$I),""))</f>
        <v/>
      </c>
      <c r="N173" s="181">
        <f>IF($B173="","",IFERROR(XLOOKUP($B173,'Daily Update'!$A:$A,'Daily Update'!$J:$J),""))</f>
        <v/>
      </c>
    </row>
    <row r="174">
      <c r="A174" t="inlineStr">
        <is>
          <t xml:space="preserve">Intel Corp </t>
        </is>
      </c>
      <c r="B174" t="inlineStr">
        <is>
          <t>INTC</t>
        </is>
      </c>
      <c r="C174" s="4" t="n">
        <v>0.0416</v>
      </c>
      <c r="D174" s="2" t="inlineStr">
        <is>
          <t>AIQ</t>
        </is>
      </c>
      <c r="E174" t="inlineStr">
        <is>
          <t>ROTH</t>
        </is>
      </c>
      <c r="G174" s="182" t="n">
        <v>110.8</v>
      </c>
      <c r="H174" s="183" t="n">
        <v>149436900</v>
      </c>
      <c r="I174" s="181" t="n">
        <v>0.02431363</v>
      </c>
      <c r="J174" s="181" t="n">
        <v>-0.08133652</v>
      </c>
      <c r="K174" s="181" t="n">
        <v>0.61751829</v>
      </c>
      <c r="L174" s="181" t="n">
        <v>4.18241382</v>
      </c>
      <c r="M174" s="181" t="n">
        <v>2.50307486</v>
      </c>
      <c r="N174" s="181" t="n">
        <v>1.1640348</v>
      </c>
    </row>
    <row r="175">
      <c r="A175" t="inlineStr">
        <is>
          <t>SK Hynix Inc</t>
        </is>
      </c>
      <c r="C175" s="4" t="n">
        <v>0.0482</v>
      </c>
      <c r="D175" s="2" t="inlineStr">
        <is>
          <t>AIQ</t>
        </is>
      </c>
      <c r="E175" t="inlineStr">
        <is>
          <t>ROTH</t>
        </is>
      </c>
      <c r="G175" s="182">
        <f>IF($B175="","",IFERROR(XLOOKUP($B175,'Daily Update'!$A:$A,'Daily Update'!$C:$C),""))</f>
        <v/>
      </c>
      <c r="H175" s="183">
        <f>IF($B175="","",IFERROR(XLOOKUP($B175,'Daily Update'!$A:$A,'Daily Update'!$D:$D),""))</f>
        <v/>
      </c>
      <c r="I175" s="181">
        <f>IF($B175="","",IFERROR(XLOOKUP($B175,'Daily Update'!$A:$A,'Daily Update'!$E:$E),""))</f>
        <v/>
      </c>
      <c r="J175" s="181">
        <f>IF($B175="","",IFERROR(XLOOKUP($B175,'Daily Update'!$A:$A,'Daily Update'!$F:$F),""))</f>
        <v/>
      </c>
      <c r="K175" s="181">
        <f>IF($B175="","",IFERROR(XLOOKUP($B175,'Daily Update'!$A:$A,'Daily Update'!$G:$G),""))</f>
        <v/>
      </c>
      <c r="L175" s="181">
        <f>IF($B175="","",IFERROR(XLOOKUP($B175,'Daily Update'!$A:$A,'Daily Update'!$H:$H),""))</f>
        <v/>
      </c>
      <c r="M175" s="181">
        <f>IF($B175="","",IFERROR(XLOOKUP($B175,'Daily Update'!$A:$A,'Daily Update'!$I:$I),""))</f>
        <v/>
      </c>
      <c r="N175" s="181">
        <f>IF($B175="","",IFERROR(XLOOKUP($B175,'Daily Update'!$A:$A,'Daily Update'!$J:$J),""))</f>
        <v/>
      </c>
    </row>
    <row r="176">
      <c r="A176" t="inlineStr">
        <is>
          <t>Other</t>
        </is>
      </c>
      <c r="B176" t="inlineStr">
        <is>
          <t>OTH</t>
        </is>
      </c>
      <c r="C176" s="4">
        <f>100%-(SUM(C166:C175))</f>
        <v/>
      </c>
      <c r="D176" s="2" t="inlineStr">
        <is>
          <t>AIQ</t>
        </is>
      </c>
      <c r="E176" t="inlineStr">
        <is>
          <t>ROTH</t>
        </is>
      </c>
      <c r="G176" s="182">
        <f>IF($B176="","",IFERROR(XLOOKUP($B176,'Daily Update'!$A:$A,'Daily Update'!$C:$C),""))</f>
        <v/>
      </c>
      <c r="H176" s="183">
        <f>IF($B176="","",IFERROR(XLOOKUP($B176,'Daily Update'!$A:$A,'Daily Update'!$D:$D),""))</f>
        <v/>
      </c>
      <c r="I176" s="181">
        <f>IF($B176="","",IFERROR(XLOOKUP($B176,'Daily Update'!$A:$A,'Daily Update'!$E:$E),""))</f>
        <v/>
      </c>
      <c r="J176" s="181">
        <f>IF($B176="","",IFERROR(XLOOKUP($B176,'Daily Update'!$A:$A,'Daily Update'!$F:$F),""))</f>
        <v/>
      </c>
      <c r="K176" s="181">
        <f>IF($B176="","",IFERROR(XLOOKUP($B176,'Daily Update'!$A:$A,'Daily Update'!$G:$G),""))</f>
        <v/>
      </c>
      <c r="L176" s="181">
        <f>IF($B176="","",IFERROR(XLOOKUP($B176,'Daily Update'!$A:$A,'Daily Update'!$H:$H),""))</f>
        <v/>
      </c>
      <c r="M176" s="181">
        <f>IF($B176="","",IFERROR(XLOOKUP($B176,'Daily Update'!$A:$A,'Daily Update'!$I:$I),""))</f>
        <v/>
      </c>
      <c r="N176" s="181">
        <f>IF($B176="","",IFERROR(XLOOKUP($B176,'Daily Update'!$A:$A,'Daily Update'!$J:$J),""))</f>
        <v/>
      </c>
    </row>
    <row r="177">
      <c r="D177" s="2" t="n"/>
      <c r="G177" s="182">
        <f>IF($B177="","",IFERROR(XLOOKUP($B177,'Daily Update'!$A:$A,'Daily Update'!$C:$C),""))</f>
        <v/>
      </c>
      <c r="H177" s="183">
        <f>IF($B177="","",IFERROR(XLOOKUP($B177,'Daily Update'!$A:$A,'Daily Update'!$D:$D),""))</f>
        <v/>
      </c>
      <c r="I177" s="181">
        <f>IF($B177="","",IFERROR(XLOOKUP($B177,'Daily Update'!$A:$A,'Daily Update'!$E:$E),""))</f>
        <v/>
      </c>
      <c r="J177" s="181">
        <f>IF($B177="","",IFERROR(XLOOKUP($B177,'Daily Update'!$A:$A,'Daily Update'!$F:$F),""))</f>
        <v/>
      </c>
      <c r="K177" s="181">
        <f>IF($B177="","",IFERROR(XLOOKUP($B177,'Daily Update'!$A:$A,'Daily Update'!$G:$G),""))</f>
        <v/>
      </c>
      <c r="L177" s="181">
        <f>IF($B177="","",IFERROR(XLOOKUP($B177,'Daily Update'!$A:$A,'Daily Update'!$H:$H),""))</f>
        <v/>
      </c>
      <c r="M177" s="181">
        <f>IF($B177="","",IFERROR(XLOOKUP($B177,'Daily Update'!$A:$A,'Daily Update'!$I:$I),""))</f>
        <v/>
      </c>
      <c r="N177" s="181">
        <f>IF($B177="","",IFERROR(XLOOKUP($B177,'Daily Update'!$A:$A,'Daily Update'!$J:$J),""))</f>
        <v/>
      </c>
    </row>
    <row r="178">
      <c r="A178" s="38" t="inlineStr">
        <is>
          <t>ARK ETF TR AUTONOMOUS TECHNOLOGY &amp; ROBOTICS ETF</t>
        </is>
      </c>
      <c r="B178" s="8" t="inlineStr">
        <is>
          <t>ARKQ</t>
        </is>
      </c>
      <c r="C178" s="7">
        <f>SUM(C179:C189)</f>
        <v/>
      </c>
      <c r="D178" s="8" t="inlineStr">
        <is>
          <t>ARKQ</t>
        </is>
      </c>
      <c r="E178" s="38" t="inlineStr">
        <is>
          <t>ROTH</t>
        </is>
      </c>
      <c r="F178" s="38" t="n"/>
      <c r="G178" s="182" t="n">
        <v>129.62</v>
      </c>
      <c r="H178" s="183" t="n">
        <v>172000</v>
      </c>
      <c r="I178" s="181" t="n">
        <v>-0.01474614</v>
      </c>
      <c r="J178" s="181" t="n">
        <v>-0.04339487</v>
      </c>
      <c r="K178" s="181" t="n">
        <v>-0.00154069</v>
      </c>
      <c r="L178" s="181" t="n">
        <v>0.64538891</v>
      </c>
      <c r="M178" s="181" t="n">
        <v>1.31273934</v>
      </c>
      <c r="N178" s="181" t="n">
        <v>0.67156576</v>
      </c>
    </row>
    <row r="179">
      <c r="A179" t="inlineStr">
        <is>
          <t xml:space="preserve">Taiwan Semiconductor Manufacturing Co Ltd ADR </t>
        </is>
      </c>
      <c r="B179" t="inlineStr">
        <is>
          <t>TSM</t>
        </is>
      </c>
      <c r="C179" s="4" t="n">
        <v>0.0303</v>
      </c>
      <c r="D179" s="2" t="inlineStr">
        <is>
          <t>ARKQ</t>
        </is>
      </c>
      <c r="E179" t="inlineStr">
        <is>
          <t>ROTH</t>
        </is>
      </c>
      <c r="G179" s="182" t="n">
        <v>392.61</v>
      </c>
      <c r="H179" s="183" t="n">
        <v>14054400</v>
      </c>
      <c r="I179" s="181" t="n">
        <v>-0.00843548</v>
      </c>
      <c r="J179" s="181" t="n">
        <v>-0.01175497</v>
      </c>
      <c r="K179" s="181" t="n">
        <v>0.05967607</v>
      </c>
      <c r="L179" s="181" t="n">
        <v>1.05412214</v>
      </c>
      <c r="M179" s="181" t="n">
        <v>1.65712899</v>
      </c>
      <c r="N179" s="181" t="n">
        <v>2.76546543</v>
      </c>
    </row>
    <row r="180">
      <c r="A180" t="inlineStr">
        <is>
          <t xml:space="preserve">Amazon.com Inc </t>
        </is>
      </c>
      <c r="B180" t="inlineStr">
        <is>
          <t>AMZN</t>
        </is>
      </c>
      <c r="C180" s="4" t="n">
        <v>0.033</v>
      </c>
      <c r="D180" s="2" t="inlineStr">
        <is>
          <t>ARKQ</t>
        </is>
      </c>
      <c r="E180" t="inlineStr">
        <is>
          <t>ROTH</t>
        </is>
      </c>
      <c r="G180" s="182" t="n">
        <v>259.34</v>
      </c>
      <c r="H180" s="183" t="n">
        <v>40269100</v>
      </c>
      <c r="I180" s="181" t="n">
        <v>-0.02084116</v>
      </c>
      <c r="J180" s="181" t="n">
        <v>-0.02437744</v>
      </c>
      <c r="K180" s="181" t="n">
        <v>0.0350415</v>
      </c>
      <c r="L180" s="181" t="n">
        <v>0.25795495</v>
      </c>
      <c r="M180" s="181" t="n">
        <v>0.40411478</v>
      </c>
      <c r="N180" s="181" t="n">
        <v>0.59707848</v>
      </c>
    </row>
    <row r="181">
      <c r="A181" t="inlineStr">
        <is>
          <t xml:space="preserve">Palantir Technologies Inc Ordinary Shares - Class A </t>
        </is>
      </c>
      <c r="B181" t="inlineStr">
        <is>
          <t>PLTR</t>
        </is>
      </c>
      <c r="C181" s="4" t="n">
        <v>0.0381</v>
      </c>
      <c r="D181" s="2" t="inlineStr">
        <is>
          <t>ARKQ</t>
        </is>
      </c>
      <c r="E181" t="inlineStr">
        <is>
          <t>ROTH</t>
        </is>
      </c>
      <c r="G181" s="182" t="n">
        <v>135.26</v>
      </c>
      <c r="H181" s="183" t="n">
        <v>29701300</v>
      </c>
      <c r="I181" s="181" t="n">
        <v>0.00088793</v>
      </c>
      <c r="J181" s="181" t="n">
        <v>-0.00544122</v>
      </c>
      <c r="K181" s="181" t="n">
        <v>-0.07602982</v>
      </c>
      <c r="L181" s="181" t="n">
        <v>0.07068782</v>
      </c>
      <c r="M181" s="181" t="n">
        <v>5.21599233</v>
      </c>
      <c r="N181" s="181" t="n">
        <v>5.56283312</v>
      </c>
    </row>
    <row r="182">
      <c r="A182" t="inlineStr">
        <is>
          <t xml:space="preserve">Deere &amp; Co </t>
        </is>
      </c>
      <c r="B182" t="inlineStr">
        <is>
          <t>DE</t>
        </is>
      </c>
      <c r="C182" s="4" t="n">
        <v>0.041</v>
      </c>
      <c r="D182" s="2" t="inlineStr">
        <is>
          <t>ARKQ</t>
        </is>
      </c>
      <c r="E182" t="inlineStr">
        <is>
          <t>ROTH</t>
        </is>
      </c>
      <c r="G182" s="182" t="n">
        <v>558.0700000000001</v>
      </c>
      <c r="H182" s="183" t="n">
        <v>1027900</v>
      </c>
      <c r="I182" s="181" t="n">
        <v>-0.01137307</v>
      </c>
      <c r="J182" s="181" t="n">
        <v>-0.05281827</v>
      </c>
      <c r="K182" s="181" t="n">
        <v>-0.05485556</v>
      </c>
      <c r="L182" s="181" t="n">
        <v>0.06710453</v>
      </c>
      <c r="M182" s="181" t="n">
        <v>0.44521849</v>
      </c>
      <c r="N182" s="181" t="n">
        <v>0.67777052</v>
      </c>
    </row>
    <row r="183">
      <c r="A183" t="inlineStr">
        <is>
          <t xml:space="preserve">Alphabet Inc Class C </t>
        </is>
      </c>
      <c r="B183" t="inlineStr">
        <is>
          <t>GOOG</t>
        </is>
      </c>
      <c r="C183" s="4" t="n">
        <v>0.0463</v>
      </c>
      <c r="D183" s="2" t="inlineStr">
        <is>
          <t>ARKQ</t>
        </is>
      </c>
      <c r="E183" t="inlineStr">
        <is>
          <t>ROTH</t>
        </is>
      </c>
      <c r="G183" s="182" t="n">
        <v>384.9</v>
      </c>
      <c r="H183" s="183" t="n">
        <v>25497700</v>
      </c>
      <c r="I183" s="181" t="n">
        <v>-0.02088472</v>
      </c>
      <c r="J183" s="181" t="n">
        <v>0.00281378</v>
      </c>
      <c r="K183" s="181" t="n">
        <v>0.13406011</v>
      </c>
      <c r="L183" s="181" t="n">
        <v>1.30077221</v>
      </c>
      <c r="M183" s="181" t="n">
        <v>1.18884331</v>
      </c>
      <c r="N183" s="181" t="n">
        <v>2.2941019</v>
      </c>
    </row>
    <row r="184">
      <c r="A184" t="inlineStr">
        <is>
          <t xml:space="preserve">Rocket Lab Corp </t>
        </is>
      </c>
      <c r="B184" t="inlineStr">
        <is>
          <t>RKLB</t>
        </is>
      </c>
      <c r="C184" s="4" t="n">
        <v>0.0479</v>
      </c>
      <c r="D184" s="2" t="inlineStr">
        <is>
          <t>ARKQ</t>
        </is>
      </c>
      <c r="E184" t="inlineStr">
        <is>
          <t>ROTH</t>
        </is>
      </c>
      <c r="G184" s="182" t="n">
        <v>127.31</v>
      </c>
      <c r="H184" s="183" t="n">
        <v>29996300</v>
      </c>
      <c r="I184" s="181" t="n">
        <v>-0.02935351</v>
      </c>
      <c r="J184" s="181" t="n">
        <v>0.08293637</v>
      </c>
      <c r="K184" s="181" t="n">
        <v>0.50129709</v>
      </c>
      <c r="L184" s="181" t="n">
        <v>3.93449618</v>
      </c>
      <c r="M184" s="181" t="n">
        <v>28.95529354</v>
      </c>
      <c r="N184" s="181" t="n">
        <v>11.78212822</v>
      </c>
    </row>
    <row r="185">
      <c r="A185" t="inlineStr">
        <is>
          <t xml:space="preserve">Kratos Defense &amp; Security Solutions Inc </t>
        </is>
      </c>
      <c r="B185" t="inlineStr">
        <is>
          <t>KTOS</t>
        </is>
      </c>
      <c r="C185" s="4" t="n">
        <v>0.0508</v>
      </c>
      <c r="D185" s="2" t="inlineStr">
        <is>
          <t>ARKQ</t>
        </is>
      </c>
      <c r="E185" t="inlineStr">
        <is>
          <t>ROTH</t>
        </is>
      </c>
      <c r="G185" s="182" t="n">
        <v>53.47</v>
      </c>
      <c r="H185" s="183" t="n">
        <v>2747900</v>
      </c>
      <c r="I185" s="181" t="n">
        <v>-0.01383253</v>
      </c>
      <c r="J185" s="181" t="n">
        <v>-0.0673295</v>
      </c>
      <c r="K185" s="181" t="n">
        <v>-0.24679528</v>
      </c>
      <c r="L185" s="181" t="n">
        <v>0.52206091</v>
      </c>
      <c r="M185" s="181" t="n">
        <v>1.54255823</v>
      </c>
      <c r="N185" s="181" t="n">
        <v>1.23070516</v>
      </c>
    </row>
    <row r="186">
      <c r="A186" t="inlineStr">
        <is>
          <t xml:space="preserve">Advanced Micro Devices Inc </t>
        </is>
      </c>
      <c r="B186" t="inlineStr">
        <is>
          <t>AMD</t>
        </is>
      </c>
      <c r="C186" s="4" t="n">
        <v>0.0634</v>
      </c>
      <c r="D186" s="2" t="inlineStr">
        <is>
          <t>ARKQ</t>
        </is>
      </c>
      <c r="E186" t="inlineStr">
        <is>
          <t>ROTH</t>
        </is>
      </c>
      <c r="G186" s="182" t="n">
        <v>414.05</v>
      </c>
      <c r="H186" s="183" t="n">
        <v>38637700</v>
      </c>
      <c r="I186" s="181" t="n">
        <v>-0.01648496</v>
      </c>
      <c r="J186" s="181" t="n">
        <v>-0.07637917</v>
      </c>
      <c r="K186" s="181" t="n">
        <v>0.48730186</v>
      </c>
      <c r="L186" s="181" t="n">
        <v>2.6085933</v>
      </c>
      <c r="M186" s="181" t="n">
        <v>1.5174803</v>
      </c>
      <c r="N186" s="181" t="n">
        <v>4.30425315</v>
      </c>
    </row>
    <row r="187">
      <c r="A187" t="inlineStr">
        <is>
          <t xml:space="preserve">Teradyne Inc </t>
        </is>
      </c>
      <c r="B187" t="inlineStr">
        <is>
          <t>TER</t>
        </is>
      </c>
      <c r="C187" s="4" t="n">
        <v>0.07969999999999999</v>
      </c>
      <c r="D187" s="2" t="inlineStr">
        <is>
          <t>ARKQ</t>
        </is>
      </c>
      <c r="E187" t="inlineStr">
        <is>
          <t>ROTH</t>
        </is>
      </c>
      <c r="G187" s="182" t="n">
        <v>321.52</v>
      </c>
      <c r="H187" s="183" t="n">
        <v>3486200</v>
      </c>
      <c r="I187" s="181" t="n">
        <v>0.00146395</v>
      </c>
      <c r="J187" s="181" t="n">
        <v>-0.10302698</v>
      </c>
      <c r="K187" s="181" t="n">
        <v>-0.15474004</v>
      </c>
      <c r="L187" s="181" t="n">
        <v>2.96111101</v>
      </c>
      <c r="M187" s="181" t="n">
        <v>1.45621299</v>
      </c>
      <c r="N187" s="181" t="n">
        <v>1.59029848</v>
      </c>
    </row>
    <row r="188">
      <c r="A188" t="inlineStr">
        <is>
          <t xml:space="preserve">Tesla Inc </t>
        </is>
      </c>
      <c r="B188" t="inlineStr">
        <is>
          <t>TSLA</t>
        </is>
      </c>
      <c r="C188" s="4" t="n">
        <v>0.0985</v>
      </c>
      <c r="D188" s="2" t="inlineStr">
        <is>
          <t>ARKQ</t>
        </is>
      </c>
      <c r="E188" t="inlineStr">
        <is>
          <t>ROTH</t>
        </is>
      </c>
      <c r="G188" s="182" t="n">
        <v>404.11</v>
      </c>
      <c r="H188" s="183" t="n">
        <v>46354700</v>
      </c>
      <c r="I188" s="181" t="n">
        <v>-0.01434183</v>
      </c>
      <c r="J188" s="181" t="n">
        <v>-0.06768953</v>
      </c>
      <c r="K188" s="181" t="n">
        <v>0.008711470000000001</v>
      </c>
      <c r="L188" s="181" t="n">
        <v>0.18129729</v>
      </c>
      <c r="M188" s="181" t="n">
        <v>1.27718906</v>
      </c>
      <c r="N188" s="181" t="n">
        <v>1.06607234</v>
      </c>
    </row>
    <row r="189">
      <c r="A189" t="inlineStr">
        <is>
          <t>Other</t>
        </is>
      </c>
      <c r="B189" t="inlineStr">
        <is>
          <t>OTH</t>
        </is>
      </c>
      <c r="C189" s="4">
        <f>100%-(SUM(C179:C188))</f>
        <v/>
      </c>
      <c r="D189" s="2" t="inlineStr">
        <is>
          <t>ARKQ</t>
        </is>
      </c>
      <c r="E189" t="inlineStr">
        <is>
          <t>ROTH</t>
        </is>
      </c>
      <c r="G189" s="182">
        <f>IF($B189="","",IFERROR(XLOOKUP($B189,'Daily Update'!$A:$A,'Daily Update'!$C:$C),""))</f>
        <v/>
      </c>
      <c r="H189" s="183">
        <f>IF($B189="","",IFERROR(XLOOKUP($B189,'Daily Update'!$A:$A,'Daily Update'!$D:$D),""))</f>
        <v/>
      </c>
      <c r="I189" s="181">
        <f>IF($B189="","",IFERROR(XLOOKUP($B189,'Daily Update'!$A:$A,'Daily Update'!$E:$E),""))</f>
        <v/>
      </c>
      <c r="J189" s="181">
        <f>IF($B189="","",IFERROR(XLOOKUP($B189,'Daily Update'!$A:$A,'Daily Update'!$F:$F),""))</f>
        <v/>
      </c>
      <c r="K189" s="181">
        <f>IF($B189="","",IFERROR(XLOOKUP($B189,'Daily Update'!$A:$A,'Daily Update'!$G:$G),""))</f>
        <v/>
      </c>
      <c r="L189" s="181">
        <f>IF($B189="","",IFERROR(XLOOKUP($B189,'Daily Update'!$A:$A,'Daily Update'!$H:$H),""))</f>
        <v/>
      </c>
      <c r="M189" s="181">
        <f>IF($B189="","",IFERROR(XLOOKUP($B189,'Daily Update'!$A:$A,'Daily Update'!$I:$I),""))</f>
        <v/>
      </c>
      <c r="N189" s="181">
        <f>IF($B189="","",IFERROR(XLOOKUP($B189,'Daily Update'!$A:$A,'Daily Update'!$J:$J),""))</f>
        <v/>
      </c>
    </row>
    <row r="190">
      <c r="G190" s="182">
        <f>IF($B190="","",IFERROR(XLOOKUP($B190,'Daily Update'!$A:$A,'Daily Update'!$C:$C),""))</f>
        <v/>
      </c>
      <c r="H190" s="183">
        <f>IF($B190="","",IFERROR(XLOOKUP($B190,'Daily Update'!$A:$A,'Daily Update'!$D:$D),""))</f>
        <v/>
      </c>
      <c r="I190" s="181">
        <f>IF($B190="","",IFERROR(XLOOKUP($B190,'Daily Update'!$A:$A,'Daily Update'!$E:$E),""))</f>
        <v/>
      </c>
      <c r="J190" s="181">
        <f>IF($B190="","",IFERROR(XLOOKUP($B190,'Daily Update'!$A:$A,'Daily Update'!$F:$F),""))</f>
        <v/>
      </c>
      <c r="K190" s="181">
        <f>IF($B190="","",IFERROR(XLOOKUP($B190,'Daily Update'!$A:$A,'Daily Update'!$G:$G),""))</f>
        <v/>
      </c>
      <c r="L190" s="181">
        <f>IF($B190="","",IFERROR(XLOOKUP($B190,'Daily Update'!$A:$A,'Daily Update'!$H:$H),""))</f>
        <v/>
      </c>
      <c r="M190" s="181">
        <f>IF($B190="","",IFERROR(XLOOKUP($B190,'Daily Update'!$A:$A,'Daily Update'!$I:$I),""))</f>
        <v/>
      </c>
      <c r="N190" s="181">
        <f>IF($B190="","",IFERROR(XLOOKUP($B190,'Daily Update'!$A:$A,'Daily Update'!$J:$J),""))</f>
        <v/>
      </c>
    </row>
    <row r="191">
      <c r="A191" s="38" t="inlineStr">
        <is>
          <t>WEDBUSH SERIES TRUST DAN IVES WEDBUSH AI REVOLUTION ETF</t>
        </is>
      </c>
      <c r="B191" s="8" t="inlineStr">
        <is>
          <t>IVES</t>
        </is>
      </c>
      <c r="C191" s="7">
        <f>SUM(C192:C202)</f>
        <v/>
      </c>
      <c r="D191" s="8" t="inlineStr">
        <is>
          <t>IVES</t>
        </is>
      </c>
      <c r="E191" s="38" t="inlineStr">
        <is>
          <t>IRA</t>
        </is>
      </c>
      <c r="F191" s="38" t="n"/>
      <c r="G191" s="182" t="n">
        <v>35.76</v>
      </c>
      <c r="H191" s="183" t="n">
        <v>399100</v>
      </c>
      <c r="I191" s="181" t="n">
        <v>-0.01024087</v>
      </c>
      <c r="J191" s="181" t="n">
        <v>-0.00556176</v>
      </c>
      <c r="K191" s="181" t="n">
        <v>0.09290944</v>
      </c>
      <c r="L191" s="181" t="n"/>
      <c r="M191" s="181" t="n"/>
      <c r="N191" s="181" t="n"/>
    </row>
    <row r="192">
      <c r="A192" t="inlineStr">
        <is>
          <t xml:space="preserve">GE Vernova Inc </t>
        </is>
      </c>
      <c r="B192" t="inlineStr">
        <is>
          <t>GEV</t>
        </is>
      </c>
      <c r="C192" s="4" t="n">
        <v>0.0424</v>
      </c>
      <c r="D192" s="2" t="inlineStr">
        <is>
          <t>IVES</t>
        </is>
      </c>
      <c r="E192" t="inlineStr">
        <is>
          <t>ROTH</t>
        </is>
      </c>
      <c r="G192" s="182" t="n">
        <v>1011.8</v>
      </c>
      <c r="H192" s="183" t="n">
        <v>2243200</v>
      </c>
      <c r="I192" s="181" t="n">
        <v>-0.00044457</v>
      </c>
      <c r="J192" s="181" t="n">
        <v>-0.0561391</v>
      </c>
      <c r="K192" s="181" t="n">
        <v>0.009025170000000001</v>
      </c>
      <c r="L192" s="181" t="n">
        <v>1.27053477</v>
      </c>
      <c r="M192" s="181" t="n">
        <v>5.24496837</v>
      </c>
      <c r="N192" s="181" t="n"/>
    </row>
    <row r="193">
      <c r="A193" t="inlineStr">
        <is>
          <t xml:space="preserve">Microsoft Corp </t>
        </is>
      </c>
      <c r="B193" t="inlineStr">
        <is>
          <t>MSFT</t>
        </is>
      </c>
      <c r="C193" s="4" t="n">
        <v>0.0444</v>
      </c>
      <c r="D193" s="2" t="inlineStr">
        <is>
          <t>IVES</t>
        </is>
      </c>
      <c r="E193" t="inlineStr">
        <is>
          <t>ROTH</t>
        </is>
      </c>
      <c r="G193" s="182" t="n">
        <v>417.42</v>
      </c>
      <c r="H193" s="183" t="n">
        <v>32942800</v>
      </c>
      <c r="I193" s="181" t="n">
        <v>-0.01444963</v>
      </c>
      <c r="J193" s="181" t="n">
        <v>0.02366536</v>
      </c>
      <c r="K193" s="181" t="n">
        <v>-0.01270133</v>
      </c>
      <c r="L193" s="181" t="n">
        <v>-0.08504617</v>
      </c>
      <c r="M193" s="181" t="n">
        <v>0.00679123</v>
      </c>
      <c r="N193" s="181" t="n">
        <v>0.76083236</v>
      </c>
    </row>
    <row r="194">
      <c r="A194" t="inlineStr">
        <is>
          <t xml:space="preserve">Micron Technology Inc </t>
        </is>
      </c>
      <c r="B194" t="inlineStr">
        <is>
          <t>MU</t>
        </is>
      </c>
      <c r="C194" s="4" t="n">
        <v>0.0466</v>
      </c>
      <c r="D194" s="2" t="inlineStr">
        <is>
          <t>IVES</t>
        </is>
      </c>
      <c r="E194" t="inlineStr">
        <is>
          <t>ROTH</t>
        </is>
      </c>
      <c r="G194" s="182" t="n">
        <v>698.74</v>
      </c>
      <c r="H194" s="183" t="n">
        <v>61450300</v>
      </c>
      <c r="I194" s="181" t="n">
        <v>0.02523698</v>
      </c>
      <c r="J194" s="181" t="n">
        <v>-0.08849699</v>
      </c>
      <c r="K194" s="181" t="n">
        <v>0.53545604</v>
      </c>
      <c r="L194" s="181" t="n">
        <v>6.09997452</v>
      </c>
      <c r="M194" s="181" t="n">
        <v>4.6161004</v>
      </c>
      <c r="N194" s="181" t="n">
        <v>7.83083375</v>
      </c>
    </row>
    <row r="195">
      <c r="A195" t="inlineStr">
        <is>
          <t xml:space="preserve">Apple Inc </t>
        </is>
      </c>
      <c r="B195" t="inlineStr">
        <is>
          <t>AAPL</t>
        </is>
      </c>
      <c r="C195" s="4" t="n">
        <v>0.0471</v>
      </c>
      <c r="D195" s="2" t="inlineStr">
        <is>
          <t>IVES</t>
        </is>
      </c>
      <c r="E195" t="inlineStr">
        <is>
          <t>ROTH</t>
        </is>
      </c>
      <c r="G195" s="182" t="n">
        <v>298.97</v>
      </c>
      <c r="H195" s="183" t="n">
        <v>42199700</v>
      </c>
      <c r="I195" s="181" t="n">
        <v>0.003794</v>
      </c>
      <c r="J195" s="181" t="n">
        <v>0.01414523</v>
      </c>
      <c r="K195" s="181" t="n">
        <v>0.10737315</v>
      </c>
      <c r="L195" s="181" t="n">
        <v>0.43766669</v>
      </c>
      <c r="M195" s="181" t="n">
        <v>0.5882436599999999</v>
      </c>
      <c r="N195" s="181" t="n">
        <v>1.40918958</v>
      </c>
    </row>
    <row r="196">
      <c r="A196" t="inlineStr">
        <is>
          <t xml:space="preserve">NVIDIA Corp </t>
        </is>
      </c>
      <c r="B196" t="inlineStr">
        <is>
          <t>NVDA</t>
        </is>
      </c>
      <c r="C196" s="4" t="n">
        <v>0.0484</v>
      </c>
      <c r="D196" s="2" t="inlineStr">
        <is>
          <t>IVES</t>
        </is>
      </c>
      <c r="E196" t="inlineStr">
        <is>
          <t>ROTH</t>
        </is>
      </c>
      <c r="G196" s="182" t="n">
        <v>220.61</v>
      </c>
      <c r="H196" s="183" t="n">
        <v>140201600</v>
      </c>
      <c r="I196" s="181" t="n">
        <v>-0.00769165</v>
      </c>
      <c r="J196" s="181" t="n">
        <v>-0.00076999</v>
      </c>
      <c r="K196" s="181" t="n">
        <v>0.09386161</v>
      </c>
      <c r="L196" s="181" t="n">
        <v>0.62766095</v>
      </c>
      <c r="M196" s="181" t="n">
        <v>1.38686075</v>
      </c>
      <c r="N196" s="181" t="n">
        <v>14.1353981</v>
      </c>
    </row>
    <row r="197">
      <c r="A197" t="inlineStr">
        <is>
          <t xml:space="preserve">Taiwan Semiconductor Manufacturing Co Ltd ADR </t>
        </is>
      </c>
      <c r="B197" t="inlineStr">
        <is>
          <t>TSM</t>
        </is>
      </c>
      <c r="C197" s="4" t="n">
        <v>0.0494</v>
      </c>
      <c r="D197" s="2" t="inlineStr">
        <is>
          <t>IVES</t>
        </is>
      </c>
      <c r="E197" t="inlineStr">
        <is>
          <t>ROTH</t>
        </is>
      </c>
      <c r="G197" s="182" t="n">
        <v>392.61</v>
      </c>
      <c r="H197" s="183" t="n">
        <v>14054400</v>
      </c>
      <c r="I197" s="181" t="n">
        <v>-0.00843548</v>
      </c>
      <c r="J197" s="181" t="n">
        <v>-0.01175497</v>
      </c>
      <c r="K197" s="181" t="n">
        <v>0.05967607</v>
      </c>
      <c r="L197" s="181" t="n">
        <v>1.05412214</v>
      </c>
      <c r="M197" s="181" t="n">
        <v>1.65712899</v>
      </c>
      <c r="N197" s="181" t="n">
        <v>2.76546543</v>
      </c>
    </row>
    <row r="198">
      <c r="A198" t="inlineStr">
        <is>
          <t xml:space="preserve">Alphabet Inc Class A </t>
        </is>
      </c>
      <c r="B198" t="inlineStr">
        <is>
          <t>GOOGL</t>
        </is>
      </c>
      <c r="C198" s="4" t="n">
        <v>0.0538</v>
      </c>
      <c r="D198" s="2" t="inlineStr">
        <is>
          <t>IVES</t>
        </is>
      </c>
      <c r="E198" t="inlineStr">
        <is>
          <t>ROTH</t>
        </is>
      </c>
      <c r="G198" s="182" t="n">
        <v>387.66</v>
      </c>
      <c r="H198" s="183" t="n">
        <v>39458400</v>
      </c>
      <c r="I198" s="181" t="n">
        <v>-0.02337884</v>
      </c>
      <c r="J198" s="181" t="n">
        <v>0.0008003</v>
      </c>
      <c r="K198" s="181" t="n">
        <v>0.13457039</v>
      </c>
      <c r="L198" s="181" t="n">
        <v>1.33580064</v>
      </c>
      <c r="M198" s="181" t="n">
        <v>1.22006163</v>
      </c>
      <c r="N198" s="181" t="n">
        <v>2.38857827</v>
      </c>
    </row>
    <row r="199">
      <c r="A199" t="inlineStr">
        <is>
          <t xml:space="preserve">Amazon.com Inc </t>
        </is>
      </c>
      <c r="B199" t="inlineStr">
        <is>
          <t>AMZN</t>
        </is>
      </c>
      <c r="C199" s="4" t="n">
        <v>0.0542</v>
      </c>
      <c r="D199" s="2" t="inlineStr">
        <is>
          <t>IVES</t>
        </is>
      </c>
      <c r="E199" t="inlineStr">
        <is>
          <t>ROTH</t>
        </is>
      </c>
      <c r="G199" s="182" t="n">
        <v>259.34</v>
      </c>
      <c r="H199" s="183" t="n">
        <v>40269100</v>
      </c>
      <c r="I199" s="181" t="n">
        <v>-0.02084116</v>
      </c>
      <c r="J199" s="181" t="n">
        <v>-0.02437744</v>
      </c>
      <c r="K199" s="181" t="n">
        <v>0.0350415</v>
      </c>
      <c r="L199" s="181" t="n">
        <v>0.25795495</v>
      </c>
      <c r="M199" s="181" t="n">
        <v>0.40411478</v>
      </c>
      <c r="N199" s="181" t="n">
        <v>0.59707848</v>
      </c>
    </row>
    <row r="200">
      <c r="A200" t="inlineStr">
        <is>
          <t xml:space="preserve">Broadcom Inc </t>
        </is>
      </c>
      <c r="B200" t="inlineStr">
        <is>
          <t>AVGO</t>
        </is>
      </c>
      <c r="C200" s="4" t="n">
        <v>0.0544</v>
      </c>
      <c r="D200" s="2" t="inlineStr">
        <is>
          <t>IVES</t>
        </is>
      </c>
      <c r="E200" t="inlineStr">
        <is>
          <t>ROTH</t>
        </is>
      </c>
      <c r="G200" s="182" t="n">
        <v>411.07</v>
      </c>
      <c r="H200" s="183" t="n">
        <v>20620900</v>
      </c>
      <c r="I200" s="181" t="n">
        <v>-0.02291361</v>
      </c>
      <c r="J200" s="181" t="n">
        <v>-0.01962791</v>
      </c>
      <c r="K200" s="181" t="n">
        <v>0.01114281</v>
      </c>
      <c r="L200" s="181" t="n">
        <v>0.7968204800000001</v>
      </c>
      <c r="M200" s="181" t="n">
        <v>2.00630568</v>
      </c>
      <c r="N200" s="181" t="n">
        <v>8.985732649999999</v>
      </c>
    </row>
    <row r="201">
      <c r="A201" t="inlineStr">
        <is>
          <t xml:space="preserve">Advanced Micro Devices Inc </t>
        </is>
      </c>
      <c r="B201" t="inlineStr">
        <is>
          <t>AMD</t>
        </is>
      </c>
      <c r="C201" s="4" t="n">
        <v>0.0633</v>
      </c>
      <c r="D201" s="2" t="inlineStr">
        <is>
          <t>IVES</t>
        </is>
      </c>
      <c r="E201" t="inlineStr">
        <is>
          <t>ROTH</t>
        </is>
      </c>
      <c r="G201" s="182" t="n">
        <v>414.05</v>
      </c>
      <c r="H201" s="183" t="n">
        <v>38637700</v>
      </c>
      <c r="I201" s="181" t="n">
        <v>-0.01648496</v>
      </c>
      <c r="J201" s="181" t="n">
        <v>-0.07637917</v>
      </c>
      <c r="K201" s="181" t="n">
        <v>0.48730186</v>
      </c>
      <c r="L201" s="181" t="n">
        <v>2.6085933</v>
      </c>
      <c r="M201" s="181" t="n">
        <v>1.5174803</v>
      </c>
      <c r="N201" s="181" t="n">
        <v>4.30425315</v>
      </c>
    </row>
    <row r="202">
      <c r="A202" t="inlineStr">
        <is>
          <t>Other</t>
        </is>
      </c>
      <c r="B202" t="inlineStr">
        <is>
          <t>OTH</t>
        </is>
      </c>
      <c r="C202" s="4">
        <f>100%-(SUM(C192:C201))</f>
        <v/>
      </c>
      <c r="D202" s="2" t="inlineStr">
        <is>
          <t>IVES</t>
        </is>
      </c>
      <c r="E202" t="inlineStr">
        <is>
          <t>ROTH</t>
        </is>
      </c>
      <c r="G202" s="182">
        <f>IF($B202="","",IFERROR(XLOOKUP($B202,'Daily Update'!$A:$A,'Daily Update'!$C:$C),""))</f>
        <v/>
      </c>
      <c r="H202" s="183">
        <f>IF($B202="","",IFERROR(XLOOKUP($B202,'Daily Update'!$A:$A,'Daily Update'!$D:$D),""))</f>
        <v/>
      </c>
      <c r="I202" s="181">
        <f>IF($B202="","",IFERROR(XLOOKUP($B202,'Daily Update'!$A:$A,'Daily Update'!$E:$E),""))</f>
        <v/>
      </c>
      <c r="J202" s="181">
        <f>IF($B202="","",IFERROR(XLOOKUP($B202,'Daily Update'!$A:$A,'Daily Update'!$F:$F),""))</f>
        <v/>
      </c>
      <c r="K202" s="181">
        <f>IF($B202="","",IFERROR(XLOOKUP($B202,'Daily Update'!$A:$A,'Daily Update'!$G:$G),""))</f>
        <v/>
      </c>
      <c r="L202" s="181">
        <f>IF($B202="","",IFERROR(XLOOKUP($B202,'Daily Update'!$A:$A,'Daily Update'!$H:$H),""))</f>
        <v/>
      </c>
      <c r="M202" s="181">
        <f>IF($B202="","",IFERROR(XLOOKUP($B202,'Daily Update'!$A:$A,'Daily Update'!$I:$I),""))</f>
        <v/>
      </c>
      <c r="N202" s="181">
        <f>IF($B202="","",IFERROR(XLOOKUP($B202,'Daily Update'!$A:$A,'Daily Update'!$J:$J),""))</f>
        <v/>
      </c>
    </row>
    <row r="203">
      <c r="G203" s="182">
        <f>IF($B203="","",IFERROR(XLOOKUP($B203,'Daily Update'!$A:$A,'Daily Update'!$C:$C),""))</f>
        <v/>
      </c>
      <c r="H203" s="183">
        <f>IF($B203="","",IFERROR(XLOOKUP($B203,'Daily Update'!$A:$A,'Daily Update'!$D:$D),""))</f>
        <v/>
      </c>
      <c r="I203" s="181">
        <f>IF($B203="","",IFERROR(XLOOKUP($B203,'Daily Update'!$A:$A,'Daily Update'!$E:$E),""))</f>
        <v/>
      </c>
      <c r="J203" s="181">
        <f>IF($B203="","",IFERROR(XLOOKUP($B203,'Daily Update'!$A:$A,'Daily Update'!$F:$F),""))</f>
        <v/>
      </c>
      <c r="K203" s="181">
        <f>IF($B203="","",IFERROR(XLOOKUP($B203,'Daily Update'!$A:$A,'Daily Update'!$G:$G),""))</f>
        <v/>
      </c>
      <c r="L203" s="181">
        <f>IF($B203="","",IFERROR(XLOOKUP($B203,'Daily Update'!$A:$A,'Daily Update'!$H:$H),""))</f>
        <v/>
      </c>
      <c r="M203" s="181">
        <f>IF($B203="","",IFERROR(XLOOKUP($B203,'Daily Update'!$A:$A,'Daily Update'!$I:$I),""))</f>
        <v/>
      </c>
      <c r="N203" s="181">
        <f>IF($B203="","",IFERROR(XLOOKUP($B203,'Daily Update'!$A:$A,'Daily Update'!$J:$J),""))</f>
        <v/>
      </c>
    </row>
    <row r="204">
      <c r="A204" s="38" t="inlineStr">
        <is>
          <t>LISTED FUNDS TRUST ROUNDHILL MAGNIFICENT SEVEN ETF</t>
        </is>
      </c>
      <c r="B204" s="8" t="inlineStr">
        <is>
          <t>MAGS</t>
        </is>
      </c>
      <c r="C204" s="7">
        <f>SUM(C205:C215)</f>
        <v/>
      </c>
      <c r="D204" s="8" t="inlineStr">
        <is>
          <t>MAGS</t>
        </is>
      </c>
      <c r="E204" s="38" t="inlineStr">
        <is>
          <t>IRA</t>
        </is>
      </c>
      <c r="F204" s="38" t="n"/>
      <c r="G204" s="182" t="n">
        <v>68.53</v>
      </c>
      <c r="H204" s="183" t="n">
        <v>2829500</v>
      </c>
      <c r="I204" s="181" t="n">
        <v>-0.01338901</v>
      </c>
      <c r="J204" s="181" t="n">
        <v>-0.008535940000000001</v>
      </c>
      <c r="K204" s="181" t="n">
        <v>0.03130176</v>
      </c>
      <c r="L204" s="181" t="n">
        <v>0.33032396</v>
      </c>
      <c r="M204" s="181" t="n">
        <v>0.7189959299999999</v>
      </c>
      <c r="N204" s="181" t="n"/>
    </row>
    <row r="205">
      <c r="A205" t="inlineStr">
        <is>
          <t>United States Treasury Bills 0%</t>
        </is>
      </c>
      <c r="C205" s="4" t="n">
        <v>0.4212</v>
      </c>
      <c r="D205" s="2" t="inlineStr">
        <is>
          <t>MAGS</t>
        </is>
      </c>
      <c r="E205" t="inlineStr">
        <is>
          <t>ROTH</t>
        </is>
      </c>
      <c r="G205" s="182">
        <f>IF($B205="","",IFERROR(XLOOKUP($B205,'Daily Update'!$A:$A,'Daily Update'!$C:$C),""))</f>
        <v/>
      </c>
      <c r="H205" s="183">
        <f>IF($B205="","",IFERROR(XLOOKUP($B205,'Daily Update'!$A:$A,'Daily Update'!$D:$D),""))</f>
        <v/>
      </c>
      <c r="I205" s="181">
        <f>IF($B205="","",IFERROR(XLOOKUP($B205,'Daily Update'!$A:$A,'Daily Update'!$E:$E),""))</f>
        <v/>
      </c>
      <c r="J205" s="181">
        <f>IF($B205="","",IFERROR(XLOOKUP($B205,'Daily Update'!$A:$A,'Daily Update'!$F:$F),""))</f>
        <v/>
      </c>
      <c r="K205" s="181">
        <f>IF($B205="","",IFERROR(XLOOKUP($B205,'Daily Update'!$A:$A,'Daily Update'!$G:$G),""))</f>
        <v/>
      </c>
      <c r="L205" s="181">
        <f>IF($B205="","",IFERROR(XLOOKUP($B205,'Daily Update'!$A:$A,'Daily Update'!$H:$H),""))</f>
        <v/>
      </c>
      <c r="M205" s="181">
        <f>IF($B205="","",IFERROR(XLOOKUP($B205,'Daily Update'!$A:$A,'Daily Update'!$I:$I),""))</f>
        <v/>
      </c>
      <c r="N205" s="181">
        <f>IF($B205="","",IFERROR(XLOOKUP($B205,'Daily Update'!$A:$A,'Daily Update'!$J:$J),""))</f>
        <v/>
      </c>
    </row>
    <row r="206">
      <c r="A206" t="inlineStr">
        <is>
          <t xml:space="preserve">Meta Platforms Inc Class A </t>
        </is>
      </c>
      <c r="B206" t="inlineStr">
        <is>
          <t>META</t>
        </is>
      </c>
      <c r="C206" s="4" t="n">
        <v>0.0531</v>
      </c>
      <c r="D206" t="inlineStr">
        <is>
          <t>MAGS</t>
        </is>
      </c>
      <c r="E206" t="inlineStr">
        <is>
          <t>ROTH</t>
        </is>
      </c>
      <c r="G206" s="182" t="n">
        <v>602.61</v>
      </c>
      <c r="H206" s="183" t="n">
        <v>11720900</v>
      </c>
      <c r="I206" s="181" t="n">
        <v>-0.01407051</v>
      </c>
      <c r="J206" s="181" t="n">
        <v>-0.00064679</v>
      </c>
      <c r="K206" s="181" t="n">
        <v>-0.12481302</v>
      </c>
      <c r="L206" s="181" t="n">
        <v>-0.05611858</v>
      </c>
      <c r="M206" s="181" t="n">
        <v>0.28561643</v>
      </c>
      <c r="N206" s="181" t="n">
        <v>0.90621436</v>
      </c>
    </row>
    <row r="207">
      <c r="A207" t="inlineStr">
        <is>
          <t>ALPHABET INC-CL A SWAP</t>
        </is>
      </c>
      <c r="C207" s="4" t="n">
        <v>0.0531</v>
      </c>
      <c r="D207" t="inlineStr">
        <is>
          <t>MAGS</t>
        </is>
      </c>
      <c r="E207" t="inlineStr">
        <is>
          <t>ROTH</t>
        </is>
      </c>
      <c r="G207" s="182">
        <f>IF($B207="","",IFERROR(XLOOKUP($B207,'Daily Update'!$A:$A,'Daily Update'!$C:$C),""))</f>
        <v/>
      </c>
      <c r="H207" s="183">
        <f>IF($B207="","",IFERROR(XLOOKUP($B207,'Daily Update'!$A:$A,'Daily Update'!$D:$D),""))</f>
        <v/>
      </c>
      <c r="I207" s="181">
        <f>IF($B207="","",IFERROR(XLOOKUP($B207,'Daily Update'!$A:$A,'Daily Update'!$E:$E),""))</f>
        <v/>
      </c>
      <c r="J207" s="181">
        <f>IF($B207="","",IFERROR(XLOOKUP($B207,'Daily Update'!$A:$A,'Daily Update'!$F:$F),""))</f>
        <v/>
      </c>
      <c r="K207" s="181">
        <f>IF($B207="","",IFERROR(XLOOKUP($B207,'Daily Update'!$A:$A,'Daily Update'!$G:$G),""))</f>
        <v/>
      </c>
      <c r="L207" s="181">
        <f>IF($B207="","",IFERROR(XLOOKUP($B207,'Daily Update'!$A:$A,'Daily Update'!$H:$H),""))</f>
        <v/>
      </c>
      <c r="M207" s="181">
        <f>IF($B207="","",IFERROR(XLOOKUP($B207,'Daily Update'!$A:$A,'Daily Update'!$I:$I),""))</f>
        <v/>
      </c>
      <c r="N207" s="181">
        <f>IF($B207="","",IFERROR(XLOOKUP($B207,'Daily Update'!$A:$A,'Daily Update'!$J:$J),""))</f>
        <v/>
      </c>
    </row>
    <row r="208">
      <c r="A208" t="inlineStr">
        <is>
          <t xml:space="preserve">Microsoft Corp </t>
        </is>
      </c>
      <c r="B208" t="inlineStr">
        <is>
          <t>MSFT</t>
        </is>
      </c>
      <c r="C208" s="4" t="n">
        <v>0.0544</v>
      </c>
      <c r="D208" t="inlineStr">
        <is>
          <t>MAGS</t>
        </is>
      </c>
      <c r="E208" t="inlineStr">
        <is>
          <t>ROTH</t>
        </is>
      </c>
      <c r="G208" s="182" t="n">
        <v>417.42</v>
      </c>
      <c r="H208" s="183" t="n">
        <v>32942800</v>
      </c>
      <c r="I208" s="181" t="n">
        <v>-0.01444963</v>
      </c>
      <c r="J208" s="181" t="n">
        <v>0.02366536</v>
      </c>
      <c r="K208" s="181" t="n">
        <v>-0.01270133</v>
      </c>
      <c r="L208" s="181" t="n">
        <v>-0.08504617</v>
      </c>
      <c r="M208" s="181" t="n">
        <v>0.00679123</v>
      </c>
      <c r="N208" s="181" t="n">
        <v>0.76083236</v>
      </c>
    </row>
    <row r="209">
      <c r="A209" t="inlineStr">
        <is>
          <t>AMAZON.COM INC SWAP</t>
        </is>
      </c>
      <c r="C209" s="4" t="n">
        <v>0.055</v>
      </c>
      <c r="D209" t="inlineStr">
        <is>
          <t>MAGS</t>
        </is>
      </c>
      <c r="E209" t="inlineStr">
        <is>
          <t>ROTH</t>
        </is>
      </c>
      <c r="G209" s="182">
        <f>IF($B209="","",IFERROR(XLOOKUP($B209,'Daily Update'!$A:$A,'Daily Update'!$C:$C),""))</f>
        <v/>
      </c>
      <c r="H209" s="183">
        <f>IF($B209="","",IFERROR(XLOOKUP($B209,'Daily Update'!$A:$A,'Daily Update'!$D:$D),""))</f>
        <v/>
      </c>
      <c r="I209" s="181">
        <f>IF($B209="","",IFERROR(XLOOKUP($B209,'Daily Update'!$A:$A,'Daily Update'!$E:$E),""))</f>
        <v/>
      </c>
      <c r="J209" s="181">
        <f>IF($B209="","",IFERROR(XLOOKUP($B209,'Daily Update'!$A:$A,'Daily Update'!$F:$F),""))</f>
        <v/>
      </c>
      <c r="K209" s="181">
        <f>IF($B209="","",IFERROR(XLOOKUP($B209,'Daily Update'!$A:$A,'Daily Update'!$G:$G),""))</f>
        <v/>
      </c>
      <c r="L209" s="181">
        <f>IF($B209="","",IFERROR(XLOOKUP($B209,'Daily Update'!$A:$A,'Daily Update'!$H:$H),""))</f>
        <v/>
      </c>
      <c r="M209" s="181">
        <f>IF($B209="","",IFERROR(XLOOKUP($B209,'Daily Update'!$A:$A,'Daily Update'!$I:$I),""))</f>
        <v/>
      </c>
      <c r="N209" s="181">
        <f>IF($B209="","",IFERROR(XLOOKUP($B209,'Daily Update'!$A:$A,'Daily Update'!$J:$J),""))</f>
        <v/>
      </c>
    </row>
    <row r="210">
      <c r="A210" t="inlineStr">
        <is>
          <t xml:space="preserve">Alphabet Inc Class A </t>
        </is>
      </c>
      <c r="B210" t="inlineStr">
        <is>
          <t>GOOGL</t>
        </is>
      </c>
      <c r="C210" s="4" t="n">
        <v>0.0552</v>
      </c>
      <c r="D210" t="inlineStr">
        <is>
          <t>MAGS</t>
        </is>
      </c>
      <c r="E210" t="inlineStr">
        <is>
          <t>ROTH</t>
        </is>
      </c>
      <c r="G210" s="182" t="n">
        <v>387.66</v>
      </c>
      <c r="H210" s="183" t="n">
        <v>39458400</v>
      </c>
      <c r="I210" s="181" t="n">
        <v>-0.02337884</v>
      </c>
      <c r="J210" s="181" t="n">
        <v>0.0008003</v>
      </c>
      <c r="K210" s="181" t="n">
        <v>0.13457039</v>
      </c>
      <c r="L210" s="181" t="n">
        <v>1.33580064</v>
      </c>
      <c r="M210" s="181" t="n">
        <v>1.22006163</v>
      </c>
      <c r="N210" s="181" t="n">
        <v>2.38857827</v>
      </c>
    </row>
    <row r="211">
      <c r="A211" t="inlineStr">
        <is>
          <t xml:space="preserve">NVIDIA Corp </t>
        </is>
      </c>
      <c r="B211" t="inlineStr">
        <is>
          <t>NVDA</t>
        </is>
      </c>
      <c r="C211" s="4" t="n">
        <v>0.0567</v>
      </c>
      <c r="D211" t="inlineStr">
        <is>
          <t>MAGS</t>
        </is>
      </c>
      <c r="E211" t="inlineStr">
        <is>
          <t>ROTH</t>
        </is>
      </c>
      <c r="G211" s="182" t="n">
        <v>220.61</v>
      </c>
      <c r="H211" s="183" t="n">
        <v>140201600</v>
      </c>
      <c r="I211" s="181" t="n">
        <v>-0.00769165</v>
      </c>
      <c r="J211" s="181" t="n">
        <v>-0.00076999</v>
      </c>
      <c r="K211" s="181" t="n">
        <v>0.09386161</v>
      </c>
      <c r="L211" s="181" t="n">
        <v>0.62766095</v>
      </c>
      <c r="M211" s="181" t="n">
        <v>1.38686075</v>
      </c>
      <c r="N211" s="181" t="n">
        <v>14.1353981</v>
      </c>
    </row>
    <row r="212">
      <c r="A212" t="inlineStr">
        <is>
          <t>ALPHABET INC SWAP GS</t>
        </is>
      </c>
      <c r="C212" s="4" t="n">
        <v>0.0585</v>
      </c>
      <c r="D212" t="inlineStr">
        <is>
          <t>MAGS</t>
        </is>
      </c>
      <c r="E212" t="inlineStr">
        <is>
          <t>ROTH</t>
        </is>
      </c>
      <c r="G212" s="182">
        <f>IF($B212="","",IFERROR(XLOOKUP($B212,'Daily Update'!$A:$A,'Daily Update'!$C:$C),""))</f>
        <v/>
      </c>
      <c r="H212" s="183">
        <f>IF($B212="","",IFERROR(XLOOKUP($B212,'Daily Update'!$A:$A,'Daily Update'!$D:$D),""))</f>
        <v/>
      </c>
      <c r="I212" s="181">
        <f>IF($B212="","",IFERROR(XLOOKUP($B212,'Daily Update'!$A:$A,'Daily Update'!$E:$E),""))</f>
        <v/>
      </c>
      <c r="J212" s="181">
        <f>IF($B212="","",IFERROR(XLOOKUP($B212,'Daily Update'!$A:$A,'Daily Update'!$F:$F),""))</f>
        <v/>
      </c>
      <c r="K212" s="181">
        <f>IF($B212="","",IFERROR(XLOOKUP($B212,'Daily Update'!$A:$A,'Daily Update'!$G:$G),""))</f>
        <v/>
      </c>
      <c r="L212" s="181">
        <f>IF($B212="","",IFERROR(XLOOKUP($B212,'Daily Update'!$A:$A,'Daily Update'!$H:$H),""))</f>
        <v/>
      </c>
      <c r="M212" s="181">
        <f>IF($B212="","",IFERROR(XLOOKUP($B212,'Daily Update'!$A:$A,'Daily Update'!$I:$I),""))</f>
        <v/>
      </c>
      <c r="N212" s="181">
        <f>IF($B212="","",IFERROR(XLOOKUP($B212,'Daily Update'!$A:$A,'Daily Update'!$J:$J),""))</f>
        <v/>
      </c>
    </row>
    <row r="213">
      <c r="A213" t="inlineStr">
        <is>
          <t xml:space="preserve">Amazon.com Inc </t>
        </is>
      </c>
      <c r="B213" t="inlineStr">
        <is>
          <t>AMZN</t>
        </is>
      </c>
      <c r="C213" s="4" t="n">
        <v>0.06270000000000001</v>
      </c>
      <c r="D213" t="inlineStr">
        <is>
          <t>MAGS</t>
        </is>
      </c>
      <c r="E213" t="inlineStr">
        <is>
          <t>ROTH</t>
        </is>
      </c>
      <c r="G213" s="182" t="n">
        <v>259.34</v>
      </c>
      <c r="H213" s="183" t="n">
        <v>40269100</v>
      </c>
      <c r="I213" s="181" t="n">
        <v>-0.02084116</v>
      </c>
      <c r="J213" s="181" t="n">
        <v>-0.02437744</v>
      </c>
      <c r="K213" s="181" t="n">
        <v>0.0350415</v>
      </c>
      <c r="L213" s="181" t="n">
        <v>0.25795495</v>
      </c>
      <c r="M213" s="181" t="n">
        <v>0.40411478</v>
      </c>
      <c r="N213" s="181" t="n">
        <v>0.59707848</v>
      </c>
    </row>
    <row r="214">
      <c r="A214" t="inlineStr">
        <is>
          <t xml:space="preserve">Roundhill Ultra Shrt Dur No Div TrgtETF </t>
        </is>
      </c>
      <c r="B214" t="inlineStr">
        <is>
          <t>XBOX</t>
        </is>
      </c>
      <c r="C214" s="4" t="n">
        <v>0.078</v>
      </c>
      <c r="D214" t="inlineStr">
        <is>
          <t>MAGS</t>
        </is>
      </c>
      <c r="E214" t="inlineStr">
        <is>
          <t>ROTH</t>
        </is>
      </c>
      <c r="G214" s="182" t="n">
        <v>99.53</v>
      </c>
      <c r="H214" s="183" t="n">
        <v>32700</v>
      </c>
      <c r="I214" s="181" t="n">
        <v>0</v>
      </c>
      <c r="J214" s="181" t="n">
        <v>0.00090503</v>
      </c>
      <c r="K214" s="181" t="n">
        <v>0.00241714</v>
      </c>
      <c r="L214" s="181" t="n"/>
      <c r="M214" s="181" t="n"/>
      <c r="N214" s="181" t="n"/>
    </row>
    <row r="215">
      <c r="A215" t="inlineStr">
        <is>
          <t>Other</t>
        </is>
      </c>
      <c r="B215" t="inlineStr">
        <is>
          <t>OTH</t>
        </is>
      </c>
      <c r="C215" s="4">
        <f>100%-(SUM(C205:C214))</f>
        <v/>
      </c>
      <c r="D215" t="inlineStr">
        <is>
          <t>MAGS</t>
        </is>
      </c>
      <c r="E215" t="inlineStr">
        <is>
          <t>ROTH</t>
        </is>
      </c>
      <c r="G215" s="182">
        <f>IF($B215="","",IFERROR(XLOOKUP($B215,'Daily Update'!$A:$A,'Daily Update'!$C:$C),""))</f>
        <v/>
      </c>
      <c r="H215" s="183">
        <f>IF($B215="","",IFERROR(XLOOKUP($B215,'Daily Update'!$A:$A,'Daily Update'!$D:$D),""))</f>
        <v/>
      </c>
      <c r="I215" s="181">
        <f>IF($B215="","",IFERROR(XLOOKUP($B215,'Daily Update'!$A:$A,'Daily Update'!$E:$E),""))</f>
        <v/>
      </c>
      <c r="J215" s="181">
        <f>IF($B215="","",IFERROR(XLOOKUP($B215,'Daily Update'!$A:$A,'Daily Update'!$F:$F),""))</f>
        <v/>
      </c>
      <c r="K215" s="181">
        <f>IF($B215="","",IFERROR(XLOOKUP($B215,'Daily Update'!$A:$A,'Daily Update'!$G:$G),""))</f>
        <v/>
      </c>
      <c r="L215" s="181">
        <f>IF($B215="","",IFERROR(XLOOKUP($B215,'Daily Update'!$A:$A,'Daily Update'!$H:$H),""))</f>
        <v/>
      </c>
      <c r="M215" s="181">
        <f>IF($B215="","",IFERROR(XLOOKUP($B215,'Daily Update'!$A:$A,'Daily Update'!$I:$I),""))</f>
        <v/>
      </c>
      <c r="N215" s="181">
        <f>IF($B215="","",IFERROR(XLOOKUP($B215,'Daily Update'!$A:$A,'Daily Update'!$J:$J),""))</f>
        <v/>
      </c>
    </row>
    <row r="216">
      <c r="G216" s="182">
        <f>IF($B216="","",IFERROR(XLOOKUP($B216,'Daily Update'!$A:$A,'Daily Update'!$C:$C),""))</f>
        <v/>
      </c>
      <c r="H216" s="183">
        <f>IF($B216="","",IFERROR(XLOOKUP($B216,'Daily Update'!$A:$A,'Daily Update'!$D:$D),""))</f>
        <v/>
      </c>
      <c r="I216" s="181">
        <f>IF($B216="","",IFERROR(XLOOKUP($B216,'Daily Update'!$A:$A,'Daily Update'!$E:$E),""))</f>
        <v/>
      </c>
      <c r="J216" s="181">
        <f>IF($B216="","",IFERROR(XLOOKUP($B216,'Daily Update'!$A:$A,'Daily Update'!$F:$F),""))</f>
        <v/>
      </c>
      <c r="K216" s="181">
        <f>IF($B216="","",IFERROR(XLOOKUP($B216,'Daily Update'!$A:$A,'Daily Update'!$G:$G),""))</f>
        <v/>
      </c>
      <c r="L216" s="181">
        <f>IF($B216="","",IFERROR(XLOOKUP($B216,'Daily Update'!$A:$A,'Daily Update'!$H:$H),""))</f>
        <v/>
      </c>
      <c r="M216" s="181">
        <f>IF($B216="","",IFERROR(XLOOKUP($B216,'Daily Update'!$A:$A,'Daily Update'!$I:$I),""))</f>
        <v/>
      </c>
      <c r="N216" s="181">
        <f>IF($B216="","",IFERROR(XLOOKUP($B216,'Daily Update'!$A:$A,'Daily Update'!$J:$J),""))</f>
        <v/>
      </c>
    </row>
    <row r="217">
      <c r="A217" s="38" t="inlineStr">
        <is>
          <t>AMPLIFY ETF TR AMPLIFY CWP ENHANCED DIVIDEND INCOME ETF</t>
        </is>
      </c>
      <c r="B217" s="8" t="inlineStr">
        <is>
          <t>DIVO</t>
        </is>
      </c>
      <c r="C217" s="7">
        <f>SUM(C218:C228)</f>
        <v/>
      </c>
      <c r="D217" s="8" t="inlineStr">
        <is>
          <t>DIVO</t>
        </is>
      </c>
      <c r="E217" s="38" t="inlineStr">
        <is>
          <t>IRA</t>
        </is>
      </c>
      <c r="F217" s="38" t="n"/>
      <c r="G217" s="182" t="n">
        <v>45.5</v>
      </c>
      <c r="H217" s="183" t="n">
        <v>601600</v>
      </c>
      <c r="I217" s="181" t="n">
        <v>-0.00241177</v>
      </c>
      <c r="J217" s="181" t="n">
        <v>-0.00219295</v>
      </c>
      <c r="K217" s="181" t="n">
        <v>-0.01313364</v>
      </c>
      <c r="L217" s="181" t="n">
        <v>0.16784289</v>
      </c>
      <c r="M217" s="181" t="n">
        <v>0.29841785</v>
      </c>
      <c r="N217" s="181" t="n">
        <v>0.64779606</v>
      </c>
    </row>
    <row r="218">
      <c r="A218" t="inlineStr">
        <is>
          <t xml:space="preserve">Visa Inc Class A </t>
        </is>
      </c>
      <c r="B218" t="inlineStr">
        <is>
          <t>V</t>
        </is>
      </c>
      <c r="C218" s="4" t="n">
        <v>0.0428</v>
      </c>
      <c r="D218" s="2" t="inlineStr">
        <is>
          <t>DIVO</t>
        </is>
      </c>
      <c r="E218" t="inlineStr">
        <is>
          <t>ROTH</t>
        </is>
      </c>
      <c r="G218" s="182" t="n">
        <v>329.91</v>
      </c>
      <c r="H218" s="183" t="n">
        <v>12855800</v>
      </c>
      <c r="I218" s="181" t="n">
        <v>-0.0082071</v>
      </c>
      <c r="J218" s="181" t="n">
        <v>0.01069172</v>
      </c>
      <c r="K218" s="181" t="n">
        <v>0.04281733</v>
      </c>
      <c r="L218" s="181" t="n">
        <v>-0.09617854000000001</v>
      </c>
      <c r="M218" s="181" t="n">
        <v>0.19576281</v>
      </c>
      <c r="N218" s="181" t="n">
        <v>0.51244849</v>
      </c>
    </row>
    <row r="219">
      <c r="A219" t="inlineStr">
        <is>
          <t xml:space="preserve">Amplify Samsung SOFR ETF </t>
        </is>
      </c>
      <c r="B219" t="inlineStr">
        <is>
          <t>SOFR</t>
        </is>
      </c>
      <c r="C219" s="4" t="n">
        <v>0.043</v>
      </c>
      <c r="D219" s="2" t="inlineStr">
        <is>
          <t>DIVO</t>
        </is>
      </c>
      <c r="E219" t="inlineStr">
        <is>
          <t>ROTH</t>
        </is>
      </c>
      <c r="G219" s="182" t="n">
        <v>100.32</v>
      </c>
      <c r="H219" s="183" t="n">
        <v>8400</v>
      </c>
      <c r="I219" s="181" t="n">
        <v>0.00014954</v>
      </c>
      <c r="J219" s="181" t="n">
        <v>0.00049868</v>
      </c>
      <c r="K219" s="181" t="n">
        <v>0.00323521</v>
      </c>
      <c r="L219" s="181" t="n">
        <v>0.03980712</v>
      </c>
      <c r="M219" s="181" t="n">
        <v>0.08981388999999999</v>
      </c>
      <c r="N219" s="181" t="n"/>
    </row>
    <row r="220">
      <c r="A220" t="inlineStr">
        <is>
          <t xml:space="preserve">RTX Corp </t>
        </is>
      </c>
      <c r="B220" t="inlineStr">
        <is>
          <t>RTX</t>
        </is>
      </c>
      <c r="C220" s="4" t="n">
        <v>0.0472</v>
      </c>
      <c r="D220" s="2" t="inlineStr">
        <is>
          <t>DIVO</t>
        </is>
      </c>
      <c r="E220" t="inlineStr">
        <is>
          <t>ROTH</t>
        </is>
      </c>
      <c r="G220" s="182" t="n">
        <v>174.49</v>
      </c>
      <c r="H220" s="183" t="n">
        <v>5576000</v>
      </c>
      <c r="I220" s="181" t="n">
        <v>-0.00829776</v>
      </c>
      <c r="J220" s="181" t="n">
        <v>-0.02459609</v>
      </c>
      <c r="K220" s="181" t="n">
        <v>-0.11164847</v>
      </c>
      <c r="L220" s="181" t="n">
        <v>0.29326186</v>
      </c>
      <c r="M220" s="181" t="n">
        <v>0.73010849</v>
      </c>
      <c r="N220" s="181" t="n">
        <v>1.27598158</v>
      </c>
    </row>
    <row r="221">
      <c r="A221" t="inlineStr">
        <is>
          <t xml:space="preserve">TJX Companies Inc </t>
        </is>
      </c>
      <c r="B221" t="inlineStr">
        <is>
          <t>TJX</t>
        </is>
      </c>
      <c r="C221" s="4" t="n">
        <v>0.0473</v>
      </c>
      <c r="D221" s="2" t="inlineStr">
        <is>
          <t>DIVO</t>
        </is>
      </c>
      <c r="E221" t="inlineStr">
        <is>
          <t>ROTH</t>
        </is>
      </c>
      <c r="G221" s="182" t="n">
        <v>150.68</v>
      </c>
      <c r="H221" s="183" t="n">
        <v>8725100</v>
      </c>
      <c r="I221" s="181" t="n">
        <v>0.00286185</v>
      </c>
      <c r="J221" s="181" t="n">
        <v>0.0060797</v>
      </c>
      <c r="K221" s="181" t="n">
        <v>-0.05916399</v>
      </c>
      <c r="L221" s="181" t="n">
        <v>0.12954169</v>
      </c>
      <c r="M221" s="181" t="n">
        <v>0.54041134</v>
      </c>
      <c r="N221" s="181" t="n">
        <v>1.40554302</v>
      </c>
    </row>
    <row r="222">
      <c r="A222" t="inlineStr">
        <is>
          <t xml:space="preserve">The Goldman Sachs Group Inc </t>
        </is>
      </c>
      <c r="B222" t="inlineStr">
        <is>
          <t>GS</t>
        </is>
      </c>
      <c r="C222" s="4" t="n">
        <v>0.0488</v>
      </c>
      <c r="D222" s="2" t="inlineStr">
        <is>
          <t>DIVO</t>
        </is>
      </c>
      <c r="E222" t="inlineStr">
        <is>
          <t>ROTH</t>
        </is>
      </c>
      <c r="G222" s="182" t="n">
        <v>928.74</v>
      </c>
      <c r="H222" s="183" t="n">
        <v>1758000</v>
      </c>
      <c r="I222" s="181" t="n">
        <v>-0.0186187</v>
      </c>
      <c r="J222" s="181" t="n">
        <v>-0.01814149</v>
      </c>
      <c r="K222" s="181" t="n">
        <v>0.0030131</v>
      </c>
      <c r="L222" s="181" t="n">
        <v>0.5482291500000001</v>
      </c>
      <c r="M222" s="181" t="n">
        <v>1.07152359</v>
      </c>
      <c r="N222" s="181" t="n">
        <v>1.91085842</v>
      </c>
    </row>
    <row r="223">
      <c r="A223" t="inlineStr">
        <is>
          <t xml:space="preserve">JPMorgan Chase &amp; Co </t>
        </is>
      </c>
      <c r="B223" t="inlineStr">
        <is>
          <t>JPM</t>
        </is>
      </c>
      <c r="C223" s="4" t="n">
        <v>0.0492</v>
      </c>
      <c r="D223" s="2" t="inlineStr">
        <is>
          <t>DIVO</t>
        </is>
      </c>
      <c r="E223" t="inlineStr">
        <is>
          <t>ROTH</t>
        </is>
      </c>
      <c r="G223" s="182" t="n">
        <v>295.7</v>
      </c>
      <c r="H223" s="183" t="n">
        <v>8062500</v>
      </c>
      <c r="I223" s="181" t="n">
        <v>-0.01672596</v>
      </c>
      <c r="J223" s="181" t="n">
        <v>-0.03011018</v>
      </c>
      <c r="K223" s="181" t="n">
        <v>-0.04702052</v>
      </c>
      <c r="L223" s="181" t="n">
        <v>0.13806554</v>
      </c>
      <c r="M223" s="181" t="n">
        <v>0.50613814</v>
      </c>
      <c r="N223" s="181" t="n">
        <v>1.08621487</v>
      </c>
    </row>
    <row r="224">
      <c r="A224" t="inlineStr">
        <is>
          <t xml:space="preserve">American Express Co </t>
        </is>
      </c>
      <c r="B224" t="inlineStr">
        <is>
          <t>AXP</t>
        </is>
      </c>
      <c r="C224" s="4" t="n">
        <v>0.0507</v>
      </c>
      <c r="D224" s="2" t="inlineStr">
        <is>
          <t>DIVO</t>
        </is>
      </c>
      <c r="E224" t="inlineStr">
        <is>
          <t>ROTH</t>
        </is>
      </c>
      <c r="G224" s="182" t="n">
        <v>309.31</v>
      </c>
      <c r="H224" s="183" t="n">
        <v>2917400</v>
      </c>
      <c r="I224" s="181" t="n">
        <v>-0.00938378</v>
      </c>
      <c r="J224" s="181" t="n">
        <v>-0.01590786</v>
      </c>
      <c r="K224" s="181" t="n">
        <v>-0.06747265</v>
      </c>
      <c r="L224" s="181" t="n">
        <v>0.04427737</v>
      </c>
      <c r="M224" s="181" t="n">
        <v>0.30173448</v>
      </c>
      <c r="N224" s="181" t="n">
        <v>1.11309837</v>
      </c>
    </row>
    <row r="225">
      <c r="A225" t="inlineStr">
        <is>
          <t xml:space="preserve">Apple Inc </t>
        </is>
      </c>
      <c r="B225" t="inlineStr">
        <is>
          <t>AAPL</t>
        </is>
      </c>
      <c r="C225" s="4" t="n">
        <v>0.0508</v>
      </c>
      <c r="D225" s="2" t="inlineStr">
        <is>
          <t>DIVO</t>
        </is>
      </c>
      <c r="E225" t="inlineStr">
        <is>
          <t>ROTH</t>
        </is>
      </c>
      <c r="G225" s="182" t="n">
        <v>298.97</v>
      </c>
      <c r="H225" s="183" t="n">
        <v>42199700</v>
      </c>
      <c r="I225" s="181" t="n">
        <v>0.003794</v>
      </c>
      <c r="J225" s="181" t="n">
        <v>0.01414523</v>
      </c>
      <c r="K225" s="181" t="n">
        <v>0.10737315</v>
      </c>
      <c r="L225" s="181" t="n">
        <v>0.43766669</v>
      </c>
      <c r="M225" s="181" t="n">
        <v>0.5882436599999999</v>
      </c>
      <c r="N225" s="181" t="n">
        <v>1.40918958</v>
      </c>
    </row>
    <row r="226">
      <c r="A226" t="inlineStr">
        <is>
          <t xml:space="preserve">Microsoft Corp </t>
        </is>
      </c>
      <c r="B226" t="inlineStr">
        <is>
          <t>MSFT</t>
        </is>
      </c>
      <c r="C226" s="4" t="n">
        <v>0.0549</v>
      </c>
      <c r="D226" s="2" t="inlineStr">
        <is>
          <t>DIVO</t>
        </is>
      </c>
      <c r="E226" t="inlineStr">
        <is>
          <t>ROTH</t>
        </is>
      </c>
      <c r="G226" s="182" t="n">
        <v>417.42</v>
      </c>
      <c r="H226" s="183" t="n">
        <v>32942800</v>
      </c>
      <c r="I226" s="181" t="n">
        <v>-0.01444963</v>
      </c>
      <c r="J226" s="181" t="n">
        <v>0.02366536</v>
      </c>
      <c r="K226" s="181" t="n">
        <v>-0.01270133</v>
      </c>
      <c r="L226" s="181" t="n">
        <v>-0.08504617</v>
      </c>
      <c r="M226" s="181" t="n">
        <v>0.00679123</v>
      </c>
      <c r="N226" s="181" t="n">
        <v>0.76083236</v>
      </c>
    </row>
    <row r="227">
      <c r="A227" t="inlineStr">
        <is>
          <t xml:space="preserve">Caterpillar Inc </t>
        </is>
      </c>
      <c r="B227" t="inlineStr">
        <is>
          <t>CAT</t>
        </is>
      </c>
      <c r="C227" s="4" t="n">
        <v>0.062</v>
      </c>
      <c r="D227" s="2" t="inlineStr">
        <is>
          <t>DIVO</t>
        </is>
      </c>
      <c r="E227" t="inlineStr">
        <is>
          <t>ROTH</t>
        </is>
      </c>
      <c r="G227" s="182" t="n">
        <v>860.15</v>
      </c>
      <c r="H227" s="183" t="n">
        <v>3238900</v>
      </c>
      <c r="I227" s="181" t="n">
        <v>-0.00439839</v>
      </c>
      <c r="J227" s="181" t="n">
        <v>-0.05699782</v>
      </c>
      <c r="K227" s="181" t="n">
        <v>0.08448699</v>
      </c>
      <c r="L227" s="181" t="n">
        <v>1.46606084</v>
      </c>
      <c r="M227" s="181" t="n">
        <v>1.48009231</v>
      </c>
      <c r="N227" s="181" t="n">
        <v>3.00306549</v>
      </c>
    </row>
    <row r="228">
      <c r="A228" t="inlineStr">
        <is>
          <t>Other</t>
        </is>
      </c>
      <c r="B228" t="inlineStr">
        <is>
          <t>OTH</t>
        </is>
      </c>
      <c r="C228" s="4">
        <f>100%-(SUM(C218:C227))</f>
        <v/>
      </c>
      <c r="D228" s="2" t="inlineStr">
        <is>
          <t>DIVO</t>
        </is>
      </c>
      <c r="E228" t="inlineStr">
        <is>
          <t>ROTH</t>
        </is>
      </c>
      <c r="G228" s="182">
        <f>IF($B228="","",IFERROR(XLOOKUP($B228,'Daily Update'!$A:$A,'Daily Update'!$C:$C),""))</f>
        <v/>
      </c>
      <c r="H228" s="183">
        <f>IF($B228="","",IFERROR(XLOOKUP($B228,'Daily Update'!$A:$A,'Daily Update'!$D:$D),""))</f>
        <v/>
      </c>
      <c r="I228" s="181">
        <f>IF($B228="","",IFERROR(XLOOKUP($B228,'Daily Update'!$A:$A,'Daily Update'!$E:$E),""))</f>
        <v/>
      </c>
      <c r="J228" s="181">
        <f>IF($B228="","",IFERROR(XLOOKUP($B228,'Daily Update'!$A:$A,'Daily Update'!$F:$F),""))</f>
        <v/>
      </c>
      <c r="K228" s="181">
        <f>IF($B228="","",IFERROR(XLOOKUP($B228,'Daily Update'!$A:$A,'Daily Update'!$G:$G),""))</f>
        <v/>
      </c>
      <c r="L228" s="181">
        <f>IF($B228="","",IFERROR(XLOOKUP($B228,'Daily Update'!$A:$A,'Daily Update'!$H:$H),""))</f>
        <v/>
      </c>
      <c r="M228" s="181">
        <f>IF($B228="","",IFERROR(XLOOKUP($B228,'Daily Update'!$A:$A,'Daily Update'!$I:$I),""))</f>
        <v/>
      </c>
      <c r="N228" s="181">
        <f>IF($B228="","",IFERROR(XLOOKUP($B228,'Daily Update'!$A:$A,'Daily Update'!$J:$J),""))</f>
        <v/>
      </c>
    </row>
    <row r="229">
      <c r="D229" s="2" t="n"/>
      <c r="G229" s="182">
        <f>IF($B229="","",IFERROR(XLOOKUP($B229,'Daily Update'!$A:$A,'Daily Update'!$C:$C),""))</f>
        <v/>
      </c>
      <c r="H229" s="183">
        <f>IF($B229="","",IFERROR(XLOOKUP($B229,'Daily Update'!$A:$A,'Daily Update'!$D:$D),""))</f>
        <v/>
      </c>
      <c r="I229" s="181">
        <f>IF($B229="","",IFERROR(XLOOKUP($B229,'Daily Update'!$A:$A,'Daily Update'!$E:$E),""))</f>
        <v/>
      </c>
      <c r="J229" s="181">
        <f>IF($B229="","",IFERROR(XLOOKUP($B229,'Daily Update'!$A:$A,'Daily Update'!$F:$F),""))</f>
        <v/>
      </c>
      <c r="K229" s="181">
        <f>IF($B229="","",IFERROR(XLOOKUP($B229,'Daily Update'!$A:$A,'Daily Update'!$G:$G),""))</f>
        <v/>
      </c>
      <c r="L229" s="181">
        <f>IF($B229="","",IFERROR(XLOOKUP($B229,'Daily Update'!$A:$A,'Daily Update'!$H:$H),""))</f>
        <v/>
      </c>
      <c r="M229" s="181">
        <f>IF($B229="","",IFERROR(XLOOKUP($B229,'Daily Update'!$A:$A,'Daily Update'!$I:$I),""))</f>
        <v/>
      </c>
      <c r="N229" s="181">
        <f>IF($B229="","",IFERROR(XLOOKUP($B229,'Daily Update'!$A:$A,'Daily Update'!$J:$J),""))</f>
        <v/>
      </c>
    </row>
    <row r="230">
      <c r="A230" s="38" t="inlineStr">
        <is>
          <t>NEOS ETF TRUST NEOS NASDAQ 100 HIGH INCOME ETF</t>
        </is>
      </c>
      <c r="B230" s="8" t="inlineStr">
        <is>
          <t>QQQI</t>
        </is>
      </c>
      <c r="C230" s="7">
        <f>SUM(C231:C241)</f>
        <v/>
      </c>
      <c r="D230" s="8" t="inlineStr">
        <is>
          <t>QQQI</t>
        </is>
      </c>
      <c r="E230" s="38" t="inlineStr">
        <is>
          <t>IRA</t>
        </is>
      </c>
      <c r="F230" s="38" t="n"/>
      <c r="G230" s="182" t="n">
        <v>56.14</v>
      </c>
      <c r="H230" s="183" t="n">
        <v>7640900</v>
      </c>
      <c r="I230" s="181" t="n">
        <v>-0.00354989</v>
      </c>
      <c r="J230" s="181" t="n">
        <v>-0.00319603</v>
      </c>
      <c r="K230" s="181" t="n">
        <v>0.05412315</v>
      </c>
      <c r="L230" s="181" t="n">
        <v>0.2700307</v>
      </c>
      <c r="M230" s="181" t="n">
        <v>0.46685149</v>
      </c>
      <c r="N230" s="181" t="n"/>
    </row>
    <row r="231">
      <c r="A231" t="inlineStr">
        <is>
          <t xml:space="preserve">Meta Platforms Inc Class A </t>
        </is>
      </c>
      <c r="B231" t="inlineStr">
        <is>
          <t>META</t>
        </is>
      </c>
      <c r="C231" s="4" t="n">
        <v>0.0329</v>
      </c>
      <c r="D231" s="2" t="inlineStr">
        <is>
          <t>QQQI</t>
        </is>
      </c>
      <c r="E231" t="inlineStr">
        <is>
          <t>ROTH</t>
        </is>
      </c>
      <c r="G231" s="182" t="n">
        <v>602.61</v>
      </c>
      <c r="H231" s="183" t="n">
        <v>11720900</v>
      </c>
      <c r="I231" s="181" t="n">
        <v>-0.01407051</v>
      </c>
      <c r="J231" s="181" t="n">
        <v>-0.00064679</v>
      </c>
      <c r="K231" s="181" t="n">
        <v>-0.12481302</v>
      </c>
      <c r="L231" s="181" t="n">
        <v>-0.05611858</v>
      </c>
      <c r="M231" s="181" t="n">
        <v>0.28561643</v>
      </c>
      <c r="N231" s="181" t="n">
        <v>0.90621436</v>
      </c>
    </row>
    <row r="232">
      <c r="A232" t="inlineStr">
        <is>
          <t xml:space="preserve">Tesla Inc </t>
        </is>
      </c>
      <c r="B232" t="inlineStr">
        <is>
          <t>TSLA</t>
        </is>
      </c>
      <c r="C232" s="4" t="n">
        <v>0.0337</v>
      </c>
      <c r="D232" s="2" t="inlineStr">
        <is>
          <t>QQQI</t>
        </is>
      </c>
      <c r="E232" t="inlineStr">
        <is>
          <t>ROTH</t>
        </is>
      </c>
      <c r="G232" s="182" t="n">
        <v>404.11</v>
      </c>
      <c r="H232" s="183" t="n">
        <v>46354700</v>
      </c>
      <c r="I232" s="181" t="n">
        <v>-0.01434183</v>
      </c>
      <c r="J232" s="181" t="n">
        <v>-0.06768953</v>
      </c>
      <c r="K232" s="181" t="n">
        <v>0.008711470000000001</v>
      </c>
      <c r="L232" s="181" t="n">
        <v>0.18129729</v>
      </c>
      <c r="M232" s="181" t="n">
        <v>1.27718906</v>
      </c>
      <c r="N232" s="181" t="n">
        <v>1.06607234</v>
      </c>
    </row>
    <row r="233">
      <c r="A233" t="inlineStr">
        <is>
          <t>Option on NASDAQ 100 PR USD</t>
        </is>
      </c>
      <c r="C233" s="4" t="n">
        <v>0.0358</v>
      </c>
      <c r="D233" s="2" t="inlineStr">
        <is>
          <t>QQQI</t>
        </is>
      </c>
      <c r="E233" t="inlineStr">
        <is>
          <t>ROTH</t>
        </is>
      </c>
      <c r="G233" s="182">
        <f>IF($B233="","",IFERROR(XLOOKUP($B233,'Daily Update'!$A:$A,'Daily Update'!$C:$C),""))</f>
        <v/>
      </c>
      <c r="H233" s="183">
        <f>IF($B233="","",IFERROR(XLOOKUP($B233,'Daily Update'!$A:$A,'Daily Update'!$D:$D),""))</f>
        <v/>
      </c>
      <c r="I233" s="181">
        <f>IF($B233="","",IFERROR(XLOOKUP($B233,'Daily Update'!$A:$A,'Daily Update'!$E:$E),""))</f>
        <v/>
      </c>
      <c r="J233" s="181">
        <f>IF($B233="","",IFERROR(XLOOKUP($B233,'Daily Update'!$A:$A,'Daily Update'!$F:$F),""))</f>
        <v/>
      </c>
      <c r="K233" s="181">
        <f>IF($B233="","",IFERROR(XLOOKUP($B233,'Daily Update'!$A:$A,'Daily Update'!$G:$G),""))</f>
        <v/>
      </c>
      <c r="L233" s="181">
        <f>IF($B233="","",IFERROR(XLOOKUP($B233,'Daily Update'!$A:$A,'Daily Update'!$H:$H),""))</f>
        <v/>
      </c>
      <c r="M233" s="181">
        <f>IF($B233="","",IFERROR(XLOOKUP($B233,'Daily Update'!$A:$A,'Daily Update'!$I:$I),""))</f>
        <v/>
      </c>
      <c r="N233" s="181">
        <f>IF($B233="","",IFERROR(XLOOKUP($B233,'Daily Update'!$A:$A,'Daily Update'!$J:$J),""))</f>
        <v/>
      </c>
    </row>
    <row r="234">
      <c r="A234" t="inlineStr">
        <is>
          <t xml:space="preserve">Broadcom Inc </t>
        </is>
      </c>
      <c r="B234" t="inlineStr">
        <is>
          <t>AVGO</t>
        </is>
      </c>
      <c r="C234" s="4" t="n">
        <v>0.0365</v>
      </c>
      <c r="D234" s="2" t="inlineStr">
        <is>
          <t>QQQI</t>
        </is>
      </c>
      <c r="E234" t="inlineStr">
        <is>
          <t>ROTH</t>
        </is>
      </c>
      <c r="G234" s="182" t="n">
        <v>411.07</v>
      </c>
      <c r="H234" s="183" t="n">
        <v>20620900</v>
      </c>
      <c r="I234" s="181" t="n">
        <v>-0.02291361</v>
      </c>
      <c r="J234" s="181" t="n">
        <v>-0.01962791</v>
      </c>
      <c r="K234" s="181" t="n">
        <v>0.01114281</v>
      </c>
      <c r="L234" s="181" t="n">
        <v>0.7968204800000001</v>
      </c>
      <c r="M234" s="181" t="n">
        <v>2.00630568</v>
      </c>
      <c r="N234" s="181" t="n">
        <v>8.985732649999999</v>
      </c>
    </row>
    <row r="235">
      <c r="A235" t="inlineStr">
        <is>
          <t xml:space="preserve">Alphabet Inc Class C </t>
        </is>
      </c>
      <c r="B235" t="inlineStr">
        <is>
          <t>GOOG</t>
        </is>
      </c>
      <c r="C235" s="4" t="n">
        <v>0.0381</v>
      </c>
      <c r="D235" s="2" t="inlineStr">
        <is>
          <t>QQQI</t>
        </is>
      </c>
      <c r="E235" t="inlineStr">
        <is>
          <t>ROTH</t>
        </is>
      </c>
      <c r="G235" s="182" t="n">
        <v>384.9</v>
      </c>
      <c r="H235" s="183" t="n">
        <v>25497700</v>
      </c>
      <c r="I235" s="181" t="n">
        <v>-0.02088472</v>
      </c>
      <c r="J235" s="181" t="n">
        <v>0.00281378</v>
      </c>
      <c r="K235" s="181" t="n">
        <v>0.13406011</v>
      </c>
      <c r="L235" s="181" t="n">
        <v>1.30077221</v>
      </c>
      <c r="M235" s="181" t="n">
        <v>1.18884331</v>
      </c>
      <c r="N235" s="181" t="n">
        <v>2.2941019</v>
      </c>
    </row>
    <row r="236">
      <c r="A236" t="inlineStr">
        <is>
          <t xml:space="preserve">Alphabet Inc Class A </t>
        </is>
      </c>
      <c r="B236" t="inlineStr">
        <is>
          <t>GOOGL</t>
        </is>
      </c>
      <c r="C236" s="4" t="n">
        <v>0.0412</v>
      </c>
      <c r="D236" s="2" t="inlineStr">
        <is>
          <t>QQQI</t>
        </is>
      </c>
      <c r="E236" t="inlineStr">
        <is>
          <t>ROTH</t>
        </is>
      </c>
      <c r="G236" s="182" t="n">
        <v>387.66</v>
      </c>
      <c r="H236" s="183" t="n">
        <v>39458400</v>
      </c>
      <c r="I236" s="181" t="n">
        <v>-0.02337884</v>
      </c>
      <c r="J236" s="181" t="n">
        <v>0.0008003</v>
      </c>
      <c r="K236" s="181" t="n">
        <v>0.13457039</v>
      </c>
      <c r="L236" s="181" t="n">
        <v>1.33580064</v>
      </c>
      <c r="M236" s="181" t="n">
        <v>1.22006163</v>
      </c>
      <c r="N236" s="181" t="n">
        <v>2.38857827</v>
      </c>
    </row>
    <row r="237">
      <c r="A237" t="inlineStr">
        <is>
          <t xml:space="preserve">Amazon.com Inc </t>
        </is>
      </c>
      <c r="B237" t="inlineStr">
        <is>
          <t>AMZN</t>
        </is>
      </c>
      <c r="C237" s="4" t="n">
        <v>0.0518</v>
      </c>
      <c r="D237" s="2" t="inlineStr">
        <is>
          <t>QQQI</t>
        </is>
      </c>
      <c r="E237" t="inlineStr">
        <is>
          <t>ROTH</t>
        </is>
      </c>
      <c r="G237" s="182" t="n">
        <v>259.34</v>
      </c>
      <c r="H237" s="183" t="n">
        <v>40269100</v>
      </c>
      <c r="I237" s="181" t="n">
        <v>-0.02084116</v>
      </c>
      <c r="J237" s="181" t="n">
        <v>-0.02437744</v>
      </c>
      <c r="K237" s="181" t="n">
        <v>0.0350415</v>
      </c>
      <c r="L237" s="181" t="n">
        <v>0.25795495</v>
      </c>
      <c r="M237" s="181" t="n">
        <v>0.40411478</v>
      </c>
      <c r="N237" s="181" t="n">
        <v>0.59707848</v>
      </c>
    </row>
    <row r="238">
      <c r="A238" t="inlineStr">
        <is>
          <t xml:space="preserve">Microsoft Corp </t>
        </is>
      </c>
      <c r="B238" t="inlineStr">
        <is>
          <t>MSFT</t>
        </is>
      </c>
      <c r="C238" s="4" t="n">
        <v>0.0553</v>
      </c>
      <c r="D238" s="2" t="inlineStr">
        <is>
          <t>QQQI</t>
        </is>
      </c>
      <c r="E238" t="inlineStr">
        <is>
          <t>ROTH</t>
        </is>
      </c>
      <c r="G238" s="182" t="n">
        <v>417.42</v>
      </c>
      <c r="H238" s="183" t="n">
        <v>32942800</v>
      </c>
      <c r="I238" s="181" t="n">
        <v>-0.01444963</v>
      </c>
      <c r="J238" s="181" t="n">
        <v>0.02366536</v>
      </c>
      <c r="K238" s="181" t="n">
        <v>-0.01270133</v>
      </c>
      <c r="L238" s="181" t="n">
        <v>-0.08504617</v>
      </c>
      <c r="M238" s="181" t="n">
        <v>0.00679123</v>
      </c>
      <c r="N238" s="181" t="n">
        <v>0.76083236</v>
      </c>
    </row>
    <row r="239">
      <c r="A239" t="inlineStr">
        <is>
          <t xml:space="preserve">Apple Inc </t>
        </is>
      </c>
      <c r="B239" t="inlineStr">
        <is>
          <t>AAPL</t>
        </is>
      </c>
      <c r="C239" s="4" t="n">
        <v>0.0707</v>
      </c>
      <c r="D239" s="2" t="inlineStr">
        <is>
          <t>QQQI</t>
        </is>
      </c>
      <c r="E239" t="inlineStr">
        <is>
          <t>ROTH</t>
        </is>
      </c>
      <c r="G239" s="182" t="n">
        <v>298.97</v>
      </c>
      <c r="H239" s="183" t="n">
        <v>42199700</v>
      </c>
      <c r="I239" s="181" t="n">
        <v>0.003794</v>
      </c>
      <c r="J239" s="181" t="n">
        <v>0.01414523</v>
      </c>
      <c r="K239" s="181" t="n">
        <v>0.10737315</v>
      </c>
      <c r="L239" s="181" t="n">
        <v>0.43766669</v>
      </c>
      <c r="M239" s="181" t="n">
        <v>0.5882436599999999</v>
      </c>
      <c r="N239" s="181" t="n">
        <v>1.40918958</v>
      </c>
    </row>
    <row r="240">
      <c r="A240" t="inlineStr">
        <is>
          <t xml:space="preserve">NVIDIA Corp </t>
        </is>
      </c>
      <c r="B240" t="inlineStr">
        <is>
          <t>NVDA</t>
        </is>
      </c>
      <c r="C240" s="4" t="n">
        <v>0.0857</v>
      </c>
      <c r="D240" s="2" t="inlineStr">
        <is>
          <t>QQQI</t>
        </is>
      </c>
      <c r="E240" t="inlineStr">
        <is>
          <t>ROTH</t>
        </is>
      </c>
      <c r="G240" s="182" t="n">
        <v>220.61</v>
      </c>
      <c r="H240" s="183" t="n">
        <v>140201600</v>
      </c>
      <c r="I240" s="181" t="n">
        <v>-0.00769165</v>
      </c>
      <c r="J240" s="181" t="n">
        <v>-0.00076999</v>
      </c>
      <c r="K240" s="181" t="n">
        <v>0.09386161</v>
      </c>
      <c r="L240" s="181" t="n">
        <v>0.62766095</v>
      </c>
      <c r="M240" s="181" t="n">
        <v>1.38686075</v>
      </c>
      <c r="N240" s="181" t="n">
        <v>14.1353981</v>
      </c>
    </row>
    <row r="241">
      <c r="A241" t="inlineStr">
        <is>
          <t>Other</t>
        </is>
      </c>
      <c r="B241" t="inlineStr">
        <is>
          <t>OTH</t>
        </is>
      </c>
      <c r="C241" s="4">
        <f>100%-(SUM(C231:C240))</f>
        <v/>
      </c>
      <c r="D241" s="2" t="inlineStr">
        <is>
          <t>QQQI</t>
        </is>
      </c>
      <c r="E241" t="inlineStr">
        <is>
          <t>ROTH</t>
        </is>
      </c>
      <c r="G241" s="182">
        <f>IF($B241="","",IFERROR(XLOOKUP($B241,'Daily Update'!$A:$A,'Daily Update'!$C:$C),""))</f>
        <v/>
      </c>
      <c r="H241" s="183">
        <f>IF($B241="","",IFERROR(XLOOKUP($B241,'Daily Update'!$A:$A,'Daily Update'!$D:$D),""))</f>
        <v/>
      </c>
      <c r="I241" s="181">
        <f>IF($B241="","",IFERROR(XLOOKUP($B241,'Daily Update'!$A:$A,'Daily Update'!$E:$E),""))</f>
        <v/>
      </c>
      <c r="J241" s="181">
        <f>IF($B241="","",IFERROR(XLOOKUP($B241,'Daily Update'!$A:$A,'Daily Update'!$F:$F),""))</f>
        <v/>
      </c>
      <c r="K241" s="181">
        <f>IF($B241="","",IFERROR(XLOOKUP($B241,'Daily Update'!$A:$A,'Daily Update'!$G:$G),""))</f>
        <v/>
      </c>
      <c r="L241" s="181">
        <f>IF($B241="","",IFERROR(XLOOKUP($B241,'Daily Update'!$A:$A,'Daily Update'!$H:$H),""))</f>
        <v/>
      </c>
      <c r="M241" s="181">
        <f>IF($B241="","",IFERROR(XLOOKUP($B241,'Daily Update'!$A:$A,'Daily Update'!$I:$I),""))</f>
        <v/>
      </c>
      <c r="N241" s="181">
        <f>IF($B241="","",IFERROR(XLOOKUP($B241,'Daily Update'!$A:$A,'Daily Update'!$J:$J),""))</f>
        <v/>
      </c>
    </row>
    <row r="242">
      <c r="G242" s="182">
        <f>IF($B242="","",IFERROR(XLOOKUP($B242,'Daily Update'!$A:$A,'Daily Update'!$C:$C),""))</f>
        <v/>
      </c>
      <c r="H242" s="183">
        <f>IF($B242="","",IFERROR(XLOOKUP($B242,'Daily Update'!$A:$A,'Daily Update'!$D:$D),""))</f>
        <v/>
      </c>
      <c r="I242" s="181">
        <f>IF($B242="","",IFERROR(XLOOKUP($B242,'Daily Update'!$A:$A,'Daily Update'!$E:$E),""))</f>
        <v/>
      </c>
      <c r="J242" s="181">
        <f>IF($B242="","",IFERROR(XLOOKUP($B242,'Daily Update'!$A:$A,'Daily Update'!$F:$F),""))</f>
        <v/>
      </c>
      <c r="K242" s="181">
        <f>IF($B242="","",IFERROR(XLOOKUP($B242,'Daily Update'!$A:$A,'Daily Update'!$G:$G),""))</f>
        <v/>
      </c>
      <c r="L242" s="181">
        <f>IF($B242="","",IFERROR(XLOOKUP($B242,'Daily Update'!$A:$A,'Daily Update'!$H:$H),""))</f>
        <v/>
      </c>
      <c r="M242" s="181">
        <f>IF($B242="","",IFERROR(XLOOKUP($B242,'Daily Update'!$A:$A,'Daily Update'!$I:$I),""))</f>
        <v/>
      </c>
      <c r="N242" s="181">
        <f>IF($B242="","",IFERROR(XLOOKUP($B242,'Daily Update'!$A:$A,'Daily Update'!$J:$J),""))</f>
        <v/>
      </c>
    </row>
    <row r="243">
      <c r="A243" s="38" t="inlineStr">
        <is>
          <t>VANGUARD INDEX FUNDS VANGUARD VALUE ETF</t>
        </is>
      </c>
      <c r="B243" s="38" t="inlineStr">
        <is>
          <t>VTV</t>
        </is>
      </c>
      <c r="C243" s="7">
        <f>SUM(C244:C254)</f>
        <v/>
      </c>
      <c r="D243" s="8" t="inlineStr">
        <is>
          <t>VTV</t>
        </is>
      </c>
      <c r="E243" s="38" t="inlineStr">
        <is>
          <t>IRA</t>
        </is>
      </c>
      <c r="F243" s="38" t="n"/>
      <c r="G243" s="182" t="n">
        <v>207.08</v>
      </c>
      <c r="H243" s="183" t="n">
        <v>2317300</v>
      </c>
      <c r="I243" s="181" t="n">
        <v>-0.00144663</v>
      </c>
      <c r="J243" s="181" t="n">
        <v>-0.00685815</v>
      </c>
      <c r="K243" s="181" t="n">
        <v>0.01390519</v>
      </c>
      <c r="L243" s="181" t="n">
        <v>0.22040717</v>
      </c>
      <c r="M243" s="181" t="n">
        <v>0.32286742</v>
      </c>
      <c r="N243" s="181" t="n">
        <v>0.6820886900000001</v>
      </c>
    </row>
    <row r="244">
      <c r="A244" t="inlineStr">
        <is>
          <t xml:space="preserve">Chevron Corp </t>
        </is>
      </c>
      <c r="B244" t="inlineStr">
        <is>
          <t>CVX</t>
        </is>
      </c>
      <c r="C244" s="4" t="n">
        <v>0.0142</v>
      </c>
      <c r="D244" s="2" t="inlineStr">
        <is>
          <t>VTV</t>
        </is>
      </c>
      <c r="E244" t="inlineStr">
        <is>
          <t>ROTH</t>
        </is>
      </c>
      <c r="G244" s="182" t="n">
        <v>197.25</v>
      </c>
      <c r="H244" s="183" t="n">
        <v>11811800</v>
      </c>
      <c r="I244" s="181" t="n">
        <v>0.0057618</v>
      </c>
      <c r="J244" s="181" t="n">
        <v>0.06076904</v>
      </c>
      <c r="K244" s="181" t="n">
        <v>0.0720691</v>
      </c>
      <c r="L244" s="181" t="n">
        <v>0.47047527</v>
      </c>
      <c r="M244" s="181" t="n">
        <v>0.30875537</v>
      </c>
      <c r="N244" s="181" t="n">
        <v>1.31719993</v>
      </c>
    </row>
    <row r="245">
      <c r="A245" t="inlineStr">
        <is>
          <t xml:space="preserve">AbbVie Inc </t>
        </is>
      </c>
      <c r="B245" t="inlineStr">
        <is>
          <t>ABBV</t>
        </is>
      </c>
      <c r="C245" s="4" t="n">
        <v>0.0145</v>
      </c>
      <c r="D245" s="2" t="inlineStr">
        <is>
          <t>VTV</t>
        </is>
      </c>
      <c r="E245" t="inlineStr">
        <is>
          <t>ROTH</t>
        </is>
      </c>
      <c r="G245" s="182" t="n">
        <v>213.76</v>
      </c>
      <c r="H245" s="183" t="n">
        <v>4460380</v>
      </c>
      <c r="I245" s="181" t="n">
        <v>0.0207726</v>
      </c>
      <c r="J245" s="181" t="n">
        <v>0.02838446</v>
      </c>
      <c r="K245" s="181" t="n">
        <v>0.02581817</v>
      </c>
      <c r="L245" s="181" t="n">
        <v>0.1885406</v>
      </c>
      <c r="M245" s="181" t="n">
        <v>0.37448755</v>
      </c>
      <c r="N245" s="181" t="n">
        <v>1.20174021</v>
      </c>
    </row>
    <row r="246">
      <c r="A246" t="inlineStr">
        <is>
          <t xml:space="preserve">Intel Corp </t>
        </is>
      </c>
      <c r="B246" t="inlineStr">
        <is>
          <t>INTC</t>
        </is>
      </c>
      <c r="C246" s="4" t="n">
        <v>0.0146</v>
      </c>
      <c r="D246" s="2" t="inlineStr">
        <is>
          <t>VTV</t>
        </is>
      </c>
      <c r="E246" t="inlineStr">
        <is>
          <t>ROTH</t>
        </is>
      </c>
      <c r="G246" s="182" t="n">
        <v>110.8</v>
      </c>
      <c r="H246" s="183" t="n">
        <v>149436900</v>
      </c>
      <c r="I246" s="181" t="n">
        <v>0.02431363</v>
      </c>
      <c r="J246" s="181" t="n">
        <v>-0.08133652</v>
      </c>
      <c r="K246" s="181" t="n">
        <v>0.61751829</v>
      </c>
      <c r="L246" s="181" t="n">
        <v>4.18241382</v>
      </c>
      <c r="M246" s="181" t="n">
        <v>2.50307486</v>
      </c>
      <c r="N246" s="181" t="n">
        <v>1.1640348</v>
      </c>
    </row>
    <row r="247">
      <c r="A247" t="inlineStr">
        <is>
          <t xml:space="preserve">Caterpillar Inc </t>
        </is>
      </c>
      <c r="B247" t="inlineStr">
        <is>
          <t>CAT</t>
        </is>
      </c>
      <c r="C247" s="4" t="n">
        <v>0.0161</v>
      </c>
      <c r="D247" s="2" t="inlineStr">
        <is>
          <t>VTV</t>
        </is>
      </c>
      <c r="E247" t="inlineStr">
        <is>
          <t>ROTH</t>
        </is>
      </c>
      <c r="G247" s="182" t="n">
        <v>860.15</v>
      </c>
      <c r="H247" s="183" t="n">
        <v>3238900</v>
      </c>
      <c r="I247" s="181" t="n">
        <v>-0.00439839</v>
      </c>
      <c r="J247" s="181" t="n">
        <v>-0.05699782</v>
      </c>
      <c r="K247" s="181" t="n">
        <v>0.08448699</v>
      </c>
      <c r="L247" s="181" t="n">
        <v>1.46606084</v>
      </c>
      <c r="M247" s="181" t="n">
        <v>1.48009231</v>
      </c>
      <c r="N247" s="181" t="n">
        <v>3.00306549</v>
      </c>
    </row>
    <row r="248">
      <c r="A248" t="inlineStr">
        <is>
          <t xml:space="preserve">Johnson &amp; Johnson </t>
        </is>
      </c>
      <c r="B248" t="inlineStr">
        <is>
          <t>JNJ</t>
        </is>
      </c>
      <c r="C248" s="4" t="n">
        <v>0.0215</v>
      </c>
      <c r="D248" s="2" t="inlineStr">
        <is>
          <t>VTV</t>
        </is>
      </c>
      <c r="E248" t="inlineStr">
        <is>
          <t>ROTH</t>
        </is>
      </c>
      <c r="G248" s="182" t="n">
        <v>230</v>
      </c>
      <c r="H248" s="183" t="n">
        <v>6002888</v>
      </c>
      <c r="I248" s="181" t="n">
        <v>0.00471781</v>
      </c>
      <c r="J248" s="181" t="n">
        <v>0.02559532</v>
      </c>
      <c r="K248" s="181" t="n">
        <v>-0.01784949</v>
      </c>
      <c r="L248" s="181" t="n">
        <v>0.5503196</v>
      </c>
      <c r="M248" s="181" t="n">
        <v>0.57780938</v>
      </c>
      <c r="N248" s="181" t="n">
        <v>0.54825663</v>
      </c>
    </row>
    <row r="249">
      <c r="A249" t="inlineStr">
        <is>
          <t xml:space="preserve">Walmart Inc </t>
        </is>
      </c>
      <c r="B249" t="inlineStr">
        <is>
          <t>WMT</t>
        </is>
      </c>
      <c r="C249" s="4" t="n">
        <v>0.0224</v>
      </c>
      <c r="D249" s="2" t="inlineStr">
        <is>
          <t>VTV</t>
        </is>
      </c>
      <c r="E249" t="inlineStr">
        <is>
          <t>ROTH</t>
        </is>
      </c>
      <c r="G249" s="182" t="n">
        <v>134.2</v>
      </c>
      <c r="H249" s="183" t="n">
        <v>16943100</v>
      </c>
      <c r="I249" s="181" t="n">
        <v>0.00644968</v>
      </c>
      <c r="J249" s="181" t="n">
        <v>0.02953579</v>
      </c>
      <c r="K249" s="181" t="n">
        <v>0.05455769</v>
      </c>
      <c r="L249" s="181" t="n">
        <v>0.37914812</v>
      </c>
      <c r="M249" s="181" t="n">
        <v>1.11464279</v>
      </c>
      <c r="N249" s="181" t="n">
        <v>2.01315426</v>
      </c>
    </row>
    <row r="250">
      <c r="A250" t="inlineStr">
        <is>
          <t xml:space="preserve">Micron Technology Inc </t>
        </is>
      </c>
      <c r="B250" t="inlineStr">
        <is>
          <t>MU</t>
        </is>
      </c>
      <c r="C250" s="4" t="n">
        <v>0.0226</v>
      </c>
      <c r="D250" s="2" t="inlineStr">
        <is>
          <t>VTV</t>
        </is>
      </c>
      <c r="E250" t="inlineStr">
        <is>
          <t>ROTH</t>
        </is>
      </c>
      <c r="G250" s="182" t="n">
        <v>698.74</v>
      </c>
      <c r="H250" s="183" t="n">
        <v>61450300</v>
      </c>
      <c r="I250" s="181" t="n">
        <v>0.02523698</v>
      </c>
      <c r="J250" s="181" t="n">
        <v>-0.08849699</v>
      </c>
      <c r="K250" s="181" t="n">
        <v>0.53545604</v>
      </c>
      <c r="L250" s="181" t="n">
        <v>6.09997452</v>
      </c>
      <c r="M250" s="181" t="n">
        <v>4.6161004</v>
      </c>
      <c r="N250" s="181" t="n">
        <v>7.83083375</v>
      </c>
    </row>
    <row r="251">
      <c r="A251" t="inlineStr">
        <is>
          <t xml:space="preserve">Exxon Mobil Corp </t>
        </is>
      </c>
      <c r="B251" t="inlineStr">
        <is>
          <t>XOM</t>
        </is>
      </c>
      <c r="C251" s="4" t="n">
        <v>0.0249</v>
      </c>
      <c r="D251" s="2" t="inlineStr">
        <is>
          <t>VTV</t>
        </is>
      </c>
      <c r="E251" t="inlineStr">
        <is>
          <t>ROTH</t>
        </is>
      </c>
      <c r="G251" s="182" t="n">
        <v>162.55</v>
      </c>
      <c r="H251" s="183" t="n">
        <v>20706800</v>
      </c>
      <c r="I251" s="181" t="n">
        <v>0.01283568</v>
      </c>
      <c r="J251" s="181" t="n">
        <v>0.08645886999999999</v>
      </c>
      <c r="K251" s="181" t="n">
        <v>0.11754512</v>
      </c>
      <c r="L251" s="181" t="n">
        <v>0.57538721</v>
      </c>
      <c r="M251" s="181" t="n">
        <v>0.45085385</v>
      </c>
      <c r="N251" s="181" t="n">
        <v>2.32013544</v>
      </c>
    </row>
    <row r="252">
      <c r="A252" t="inlineStr">
        <is>
          <t xml:space="preserve">Berkshire Hathaway Inc Class B </t>
        </is>
      </c>
      <c r="B252" t="inlineStr">
        <is>
          <t>BRK.B</t>
        </is>
      </c>
      <c r="C252" s="4" t="n">
        <v>0.0286</v>
      </c>
      <c r="D252" s="2" t="inlineStr">
        <is>
          <t>VTV</t>
        </is>
      </c>
      <c r="E252" t="inlineStr">
        <is>
          <t>ROTH</t>
        </is>
      </c>
      <c r="G252" s="182" t="n">
        <v>480.46</v>
      </c>
      <c r="H252" s="183" t="n">
        <v>5586100</v>
      </c>
      <c r="I252" s="181" t="n">
        <v>-0.01621691</v>
      </c>
      <c r="J252" s="181" t="n">
        <v>-0.00927912</v>
      </c>
      <c r="K252" s="181" t="n">
        <v>0.01238991</v>
      </c>
      <c r="L252" s="181" t="n">
        <v>-0.06231586</v>
      </c>
      <c r="M252" s="181" t="n">
        <v>0.15234803</v>
      </c>
      <c r="N252" s="181" t="n">
        <v>0.67565296</v>
      </c>
    </row>
    <row r="253">
      <c r="A253" t="inlineStr">
        <is>
          <t xml:space="preserve">JPMorgan Chase &amp; Co </t>
        </is>
      </c>
      <c r="B253" t="inlineStr">
        <is>
          <t>JPM</t>
        </is>
      </c>
      <c r="C253" s="4" t="n">
        <v>0.0309</v>
      </c>
      <c r="D253" s="2" t="inlineStr">
        <is>
          <t>VTV</t>
        </is>
      </c>
      <c r="E253" t="inlineStr">
        <is>
          <t>ROTH</t>
        </is>
      </c>
      <c r="G253" s="182" t="n">
        <v>295.7</v>
      </c>
      <c r="H253" s="183" t="n">
        <v>8062500</v>
      </c>
      <c r="I253" s="181" t="n">
        <v>-0.01672596</v>
      </c>
      <c r="J253" s="181" t="n">
        <v>-0.03011018</v>
      </c>
      <c r="K253" s="181" t="n">
        <v>-0.04702052</v>
      </c>
      <c r="L253" s="181" t="n">
        <v>0.13806554</v>
      </c>
      <c r="M253" s="181" t="n">
        <v>0.50613814</v>
      </c>
      <c r="N253" s="181" t="n">
        <v>1.08621487</v>
      </c>
    </row>
    <row r="254">
      <c r="A254" t="inlineStr">
        <is>
          <t>Other</t>
        </is>
      </c>
      <c r="B254" t="inlineStr">
        <is>
          <t>OTH</t>
        </is>
      </c>
      <c r="C254" s="4">
        <f>100%-(SUM(C244:C253))</f>
        <v/>
      </c>
      <c r="D254" s="2" t="inlineStr">
        <is>
          <t>VTV</t>
        </is>
      </c>
      <c r="E254" t="inlineStr">
        <is>
          <t>ROTH</t>
        </is>
      </c>
      <c r="G254" s="182">
        <f>IF($B254="","",IFERROR(XLOOKUP($B254,'Daily Update'!$A:$A,'Daily Update'!$C:$C),""))</f>
        <v/>
      </c>
      <c r="H254" s="183">
        <f>IF($B254="","",IFERROR(XLOOKUP($B254,'Daily Update'!$A:$A,'Daily Update'!$D:$D),""))</f>
        <v/>
      </c>
      <c r="I254" s="181">
        <f>IF($B254="","",IFERROR(XLOOKUP($B254,'Daily Update'!$A:$A,'Daily Update'!$E:$E),""))</f>
        <v/>
      </c>
      <c r="J254" s="181">
        <f>IF($B254="","",IFERROR(XLOOKUP($B254,'Daily Update'!$A:$A,'Daily Update'!$F:$F),""))</f>
        <v/>
      </c>
      <c r="K254" s="181">
        <f>IF($B254="","",IFERROR(XLOOKUP($B254,'Daily Update'!$A:$A,'Daily Update'!$G:$G),""))</f>
        <v/>
      </c>
      <c r="L254" s="181">
        <f>IF($B254="","",IFERROR(XLOOKUP($B254,'Daily Update'!$A:$A,'Daily Update'!$H:$H),""))</f>
        <v/>
      </c>
      <c r="M254" s="181">
        <f>IF($B254="","",IFERROR(XLOOKUP($B254,'Daily Update'!$A:$A,'Daily Update'!$I:$I),""))</f>
        <v/>
      </c>
      <c r="N254" s="181">
        <f>IF($B254="","",IFERROR(XLOOKUP($B254,'Daily Update'!$A:$A,'Daily Update'!$J:$J),""))</f>
        <v/>
      </c>
    </row>
    <row r="255">
      <c r="G255" s="182">
        <f>IF($B255="","",IFERROR(XLOOKUP($B255,'Daily Update'!$A:$A,'Daily Update'!$C:$C),""))</f>
        <v/>
      </c>
      <c r="H255" s="183">
        <f>IF($B255="","",IFERROR(XLOOKUP($B255,'Daily Update'!$A:$A,'Daily Update'!$D:$D),""))</f>
        <v/>
      </c>
      <c r="I255" s="181">
        <f>IF($B255="","",IFERROR(XLOOKUP($B255,'Daily Update'!$A:$A,'Daily Update'!$E:$E),""))</f>
        <v/>
      </c>
      <c r="J255" s="181">
        <f>IF($B255="","",IFERROR(XLOOKUP($B255,'Daily Update'!$A:$A,'Daily Update'!$F:$F),""))</f>
        <v/>
      </c>
      <c r="K255" s="181">
        <f>IF($B255="","",IFERROR(XLOOKUP($B255,'Daily Update'!$A:$A,'Daily Update'!$G:$G),""))</f>
        <v/>
      </c>
      <c r="L255" s="181">
        <f>IF($B255="","",IFERROR(XLOOKUP($B255,'Daily Update'!$A:$A,'Daily Update'!$H:$H),""))</f>
        <v/>
      </c>
      <c r="M255" s="181">
        <f>IF($B255="","",IFERROR(XLOOKUP($B255,'Daily Update'!$A:$A,'Daily Update'!$I:$I),""))</f>
        <v/>
      </c>
      <c r="N255" s="181">
        <f>IF($B255="","",IFERROR(XLOOKUP($B255,'Daily Update'!$A:$A,'Daily Update'!$J:$J),""))</f>
        <v/>
      </c>
    </row>
    <row r="256">
      <c r="A256" s="38" t="inlineStr">
        <is>
          <t>ETF SER SOLUTIONS DEFIANCE QUANTUM ETF</t>
        </is>
      </c>
      <c r="B256" s="8" t="inlineStr">
        <is>
          <t>QTUM</t>
        </is>
      </c>
      <c r="C256" s="7">
        <f>SUM(C257:C267)</f>
        <v/>
      </c>
      <c r="D256" s="8" t="inlineStr">
        <is>
          <t>QTUM</t>
        </is>
      </c>
      <c r="E256" s="38" t="inlineStr">
        <is>
          <t>IRA</t>
        </is>
      </c>
      <c r="F256" s="38" t="n"/>
      <c r="G256" s="182" t="n">
        <v>140.63</v>
      </c>
      <c r="H256" s="183" t="n">
        <v>528600</v>
      </c>
      <c r="I256" s="181" t="n">
        <v>-0.00943859</v>
      </c>
      <c r="J256" s="181" t="n">
        <v>-0.02326706</v>
      </c>
      <c r="K256" s="181" t="n">
        <v>0.09961689999999999</v>
      </c>
      <c r="L256" s="181" t="n">
        <v>0.67591539</v>
      </c>
      <c r="M256" s="181" t="n">
        <v>1.3275651</v>
      </c>
      <c r="N256" s="181" t="n">
        <v>2.18068081</v>
      </c>
    </row>
    <row r="257">
      <c r="A257" t="inlineStr">
        <is>
          <t xml:space="preserve">Coherent Corp </t>
        </is>
      </c>
      <c r="B257" t="inlineStr">
        <is>
          <t>COHR</t>
        </is>
      </c>
      <c r="C257" s="4" t="n">
        <v>0.0177</v>
      </c>
      <c r="D257" s="2" t="inlineStr">
        <is>
          <t>QTUM</t>
        </is>
      </c>
      <c r="E257" t="inlineStr">
        <is>
          <t>ROTH</t>
        </is>
      </c>
      <c r="G257" s="182" t="n">
        <v>353.63</v>
      </c>
      <c r="H257" s="183" t="n">
        <v>5771600</v>
      </c>
      <c r="I257" s="181" t="n">
        <v>-0.02535618</v>
      </c>
      <c r="J257" s="181" t="n">
        <v>-0.05449053</v>
      </c>
      <c r="K257" s="181" t="n">
        <v>0.02495512</v>
      </c>
      <c r="L257" s="181" t="n">
        <v>3.45490069</v>
      </c>
      <c r="M257" s="181" t="n">
        <v>5.08343366</v>
      </c>
      <c r="N257" s="181" t="n">
        <v>4.36697539</v>
      </c>
    </row>
    <row r="258">
      <c r="A258" t="inlineStr">
        <is>
          <t>Tower Semiconductor Ltd</t>
        </is>
      </c>
      <c r="C258" s="4" t="n">
        <v>0.018</v>
      </c>
      <c r="D258" s="2" t="inlineStr">
        <is>
          <t>QTUM</t>
        </is>
      </c>
      <c r="E258" t="inlineStr">
        <is>
          <t>ROTH</t>
        </is>
      </c>
      <c r="G258" s="182">
        <f>IF($B258="","",IFERROR(XLOOKUP($B258,'Daily Update'!$A:$A,'Daily Update'!$C:$C),""))</f>
        <v/>
      </c>
      <c r="H258" s="183">
        <f>IF($B258="","",IFERROR(XLOOKUP($B258,'Daily Update'!$A:$A,'Daily Update'!$D:$D),""))</f>
        <v/>
      </c>
      <c r="I258" s="181">
        <f>IF($B258="","",IFERROR(XLOOKUP($B258,'Daily Update'!$A:$A,'Daily Update'!$E:$E),""))</f>
        <v/>
      </c>
      <c r="J258" s="181">
        <f>IF($B258="","",IFERROR(XLOOKUP($B258,'Daily Update'!$A:$A,'Daily Update'!$F:$F),""))</f>
        <v/>
      </c>
      <c r="K258" s="181">
        <f>IF($B258="","",IFERROR(XLOOKUP($B258,'Daily Update'!$A:$A,'Daily Update'!$G:$G),""))</f>
        <v/>
      </c>
      <c r="L258" s="181">
        <f>IF($B258="","",IFERROR(XLOOKUP($B258,'Daily Update'!$A:$A,'Daily Update'!$H:$H),""))</f>
        <v/>
      </c>
      <c r="M258" s="181">
        <f>IF($B258="","",IFERROR(XLOOKUP($B258,'Daily Update'!$A:$A,'Daily Update'!$I:$I),""))</f>
        <v/>
      </c>
      <c r="N258" s="181">
        <f>IF($B258="","",IFERROR(XLOOKUP($B258,'Daily Update'!$A:$A,'Daily Update'!$J:$J),""))</f>
        <v/>
      </c>
    </row>
    <row r="259">
      <c r="A259" t="inlineStr">
        <is>
          <t xml:space="preserve">Onto Innovation Inc </t>
        </is>
      </c>
      <c r="B259" t="inlineStr">
        <is>
          <t>ONTO</t>
        </is>
      </c>
      <c r="C259" s="4" t="n">
        <v>0.0181</v>
      </c>
      <c r="D259" s="2" t="inlineStr">
        <is>
          <t>QTUM</t>
        </is>
      </c>
      <c r="E259" t="inlineStr">
        <is>
          <t>ROTH</t>
        </is>
      </c>
      <c r="G259" s="182" t="n">
        <v>248.08</v>
      </c>
      <c r="H259" s="183" t="n">
        <v>4992400</v>
      </c>
      <c r="I259" s="181" t="n">
        <v>-0.02534081</v>
      </c>
      <c r="J259" s="181" t="n">
        <v>-0.10743326</v>
      </c>
      <c r="K259" s="181" t="n">
        <v>-0.14678775</v>
      </c>
      <c r="L259" s="181" t="n">
        <v>1.47042428</v>
      </c>
      <c r="M259" s="181" t="n">
        <v>0.10997764</v>
      </c>
      <c r="N259" s="181" t="n">
        <v>2.8780678</v>
      </c>
    </row>
    <row r="260">
      <c r="A260" t="inlineStr">
        <is>
          <t xml:space="preserve">Marvell Technology Inc </t>
        </is>
      </c>
      <c r="B260" t="inlineStr">
        <is>
          <t>MRVL</t>
        </is>
      </c>
      <c r="C260" s="4" t="n">
        <v>0.0184</v>
      </c>
      <c r="D260" s="2" t="inlineStr">
        <is>
          <t>QTUM</t>
        </is>
      </c>
      <c r="E260" t="inlineStr">
        <is>
          <t>ROTH</t>
        </is>
      </c>
      <c r="G260" s="182" t="n">
        <v>176.27</v>
      </c>
      <c r="H260" s="183" t="n">
        <v>24916400</v>
      </c>
      <c r="I260" s="181" t="n">
        <v>0.04345002</v>
      </c>
      <c r="J260" s="181" t="n">
        <v>0.07155018</v>
      </c>
      <c r="K260" s="181" t="n">
        <v>0.26186557</v>
      </c>
      <c r="L260" s="181" t="n">
        <v>1.8252325</v>
      </c>
      <c r="M260" s="181" t="n">
        <v>1.4656723</v>
      </c>
      <c r="N260" s="181" t="n">
        <v>2.8849938</v>
      </c>
    </row>
    <row r="261">
      <c r="A261" t="inlineStr">
        <is>
          <t xml:space="preserve">ON Semiconductor Corp </t>
        </is>
      </c>
      <c r="B261" t="inlineStr">
        <is>
          <t>ON</t>
        </is>
      </c>
      <c r="C261" s="4" t="n">
        <v>0.0189</v>
      </c>
      <c r="D261" s="2" t="inlineStr">
        <is>
          <t>QTUM</t>
        </is>
      </c>
      <c r="E261" t="inlineStr">
        <is>
          <t>ROTH</t>
        </is>
      </c>
      <c r="G261" s="182" t="n">
        <v>106.02</v>
      </c>
      <c r="H261" s="183" t="n">
        <v>11707700</v>
      </c>
      <c r="I261" s="181" t="n">
        <v>-0.03116151</v>
      </c>
      <c r="J261" s="181" t="n">
        <v>0.01834594</v>
      </c>
      <c r="K261" s="181" t="n">
        <v>0.27719545</v>
      </c>
      <c r="L261" s="181" t="n">
        <v>1.41833933</v>
      </c>
      <c r="M261" s="181" t="n">
        <v>0.44895448</v>
      </c>
      <c r="N261" s="181" t="n">
        <v>1.75162211</v>
      </c>
    </row>
    <row r="262">
      <c r="A262" t="inlineStr">
        <is>
          <t>Global Unichip Corp</t>
        </is>
      </c>
      <c r="C262" s="4" t="n">
        <v>0.0201</v>
      </c>
      <c r="D262" s="2" t="inlineStr">
        <is>
          <t>QTUM</t>
        </is>
      </c>
      <c r="E262" t="inlineStr">
        <is>
          <t>ROTH</t>
        </is>
      </c>
      <c r="G262" s="182">
        <f>IF($B262="","",IFERROR(XLOOKUP($B262,'Daily Update'!$A:$A,'Daily Update'!$C:$C),""))</f>
        <v/>
      </c>
      <c r="H262" s="183">
        <f>IF($B262="","",IFERROR(XLOOKUP($B262,'Daily Update'!$A:$A,'Daily Update'!$D:$D),""))</f>
        <v/>
      </c>
      <c r="I262" s="181">
        <f>IF($B262="","",IFERROR(XLOOKUP($B262,'Daily Update'!$A:$A,'Daily Update'!$E:$E),""))</f>
        <v/>
      </c>
      <c r="J262" s="181">
        <f>IF($B262="","",IFERROR(XLOOKUP($B262,'Daily Update'!$A:$A,'Daily Update'!$F:$F),""))</f>
        <v/>
      </c>
      <c r="K262" s="181">
        <f>IF($B262="","",IFERROR(XLOOKUP($B262,'Daily Update'!$A:$A,'Daily Update'!$G:$G),""))</f>
        <v/>
      </c>
      <c r="L262" s="181">
        <f>IF($B262="","",IFERROR(XLOOKUP($B262,'Daily Update'!$A:$A,'Daily Update'!$H:$H),""))</f>
        <v/>
      </c>
      <c r="M262" s="181">
        <f>IF($B262="","",IFERROR(XLOOKUP($B262,'Daily Update'!$A:$A,'Daily Update'!$I:$I),""))</f>
        <v/>
      </c>
      <c r="N262" s="181">
        <f>IF($B262="","",IFERROR(XLOOKUP($B262,'Daily Update'!$A:$A,'Daily Update'!$J:$J),""))</f>
        <v/>
      </c>
    </row>
    <row r="263">
      <c r="A263" t="inlineStr">
        <is>
          <t xml:space="preserve">Micron Technology Inc </t>
        </is>
      </c>
      <c r="B263" t="inlineStr">
        <is>
          <t>MU</t>
        </is>
      </c>
      <c r="C263" s="4" t="n">
        <v>0.0202</v>
      </c>
      <c r="D263" s="2" t="inlineStr">
        <is>
          <t>QTUM</t>
        </is>
      </c>
      <c r="E263" t="inlineStr">
        <is>
          <t>ROTH</t>
        </is>
      </c>
      <c r="G263" s="182" t="n">
        <v>698.74</v>
      </c>
      <c r="H263" s="183" t="n">
        <v>61450300</v>
      </c>
      <c r="I263" s="181" t="n">
        <v>0.02523698</v>
      </c>
      <c r="J263" s="181" t="n">
        <v>-0.08849699</v>
      </c>
      <c r="K263" s="181" t="n">
        <v>0.53545604</v>
      </c>
      <c r="L263" s="181" t="n">
        <v>6.09997452</v>
      </c>
      <c r="M263" s="181" t="n">
        <v>4.6161004</v>
      </c>
      <c r="N263" s="181" t="n">
        <v>7.83083375</v>
      </c>
    </row>
    <row r="264">
      <c r="A264" t="inlineStr">
        <is>
          <t xml:space="preserve">Nokia Oyj ADR </t>
        </is>
      </c>
      <c r="B264" t="inlineStr">
        <is>
          <t>NOK</t>
        </is>
      </c>
      <c r="C264" s="4" t="n">
        <v>0.0214</v>
      </c>
      <c r="D264" s="2" t="inlineStr">
        <is>
          <t>QTUM</t>
        </is>
      </c>
      <c r="E264" t="inlineStr">
        <is>
          <t>ROTH</t>
        </is>
      </c>
      <c r="G264" s="182" t="n">
        <v>13.67</v>
      </c>
      <c r="H264" s="183" t="n">
        <v>82194000</v>
      </c>
      <c r="I264" s="181" t="n">
        <v>-0.00509459</v>
      </c>
      <c r="J264" s="181" t="n">
        <v>0.03796507</v>
      </c>
      <c r="K264" s="181" t="n">
        <v>0.32589714</v>
      </c>
      <c r="L264" s="181" t="n">
        <v>1.63788215</v>
      </c>
      <c r="M264" s="181" t="n">
        <v>2.64782652</v>
      </c>
      <c r="N264" s="181" t="n">
        <v>1.9549765</v>
      </c>
    </row>
    <row r="265">
      <c r="A265" t="inlineStr">
        <is>
          <t xml:space="preserve">STMicroelectronics NV ADR </t>
        </is>
      </c>
      <c r="B265" t="inlineStr">
        <is>
          <t>STM</t>
        </is>
      </c>
      <c r="C265" s="4" t="n">
        <v>0.0216</v>
      </c>
      <c r="D265" s="2" t="inlineStr">
        <is>
          <t>QTUM</t>
        </is>
      </c>
      <c r="E265" t="inlineStr">
        <is>
          <t>ROTH</t>
        </is>
      </c>
      <c r="G265" s="182" t="n">
        <v>61.23</v>
      </c>
      <c r="H265" s="183" t="n">
        <v>10716400</v>
      </c>
      <c r="I265" s="181" t="n">
        <v>0.00442914</v>
      </c>
      <c r="J265" s="181" t="n">
        <v>0.05696529</v>
      </c>
      <c r="K265" s="181" t="n">
        <v>0.38466752</v>
      </c>
      <c r="L265" s="181" t="n">
        <v>1.40034572</v>
      </c>
      <c r="M265" s="181" t="n">
        <v>0.5079717</v>
      </c>
      <c r="N265" s="181" t="n">
        <v>0.76566413</v>
      </c>
    </row>
    <row r="266">
      <c r="A266" t="inlineStr">
        <is>
          <t xml:space="preserve">Intel Corp </t>
        </is>
      </c>
      <c r="B266" t="inlineStr">
        <is>
          <t>INTC</t>
        </is>
      </c>
      <c r="C266" s="4" t="n">
        <v>0.0239</v>
      </c>
      <c r="D266" s="2" t="inlineStr">
        <is>
          <t>QTUM</t>
        </is>
      </c>
      <c r="E266" t="inlineStr">
        <is>
          <t>ROTH</t>
        </is>
      </c>
      <c r="G266" s="182" t="n">
        <v>110.8</v>
      </c>
      <c r="H266" s="183" t="n">
        <v>149436900</v>
      </c>
      <c r="I266" s="181" t="n">
        <v>0.02431363</v>
      </c>
      <c r="J266" s="181" t="n">
        <v>-0.08133652</v>
      </c>
      <c r="K266" s="181" t="n">
        <v>0.61751829</v>
      </c>
      <c r="L266" s="181" t="n">
        <v>4.18241382</v>
      </c>
      <c r="M266" s="181" t="n">
        <v>2.50307486</v>
      </c>
      <c r="N266" s="181" t="n">
        <v>1.1640348</v>
      </c>
    </row>
    <row r="267">
      <c r="A267" t="inlineStr">
        <is>
          <t>Other</t>
        </is>
      </c>
      <c r="B267" t="inlineStr">
        <is>
          <t>OTH</t>
        </is>
      </c>
      <c r="C267" s="4">
        <f>100%-(SUM(C257:C266))</f>
        <v/>
      </c>
      <c r="D267" s="2" t="inlineStr">
        <is>
          <t>QTUM</t>
        </is>
      </c>
      <c r="E267" t="inlineStr">
        <is>
          <t>ROTH</t>
        </is>
      </c>
      <c r="G267" s="182">
        <f>IF($B267="","",IFERROR(XLOOKUP($B267,'Daily Update'!$A:$A,'Daily Update'!$C:$C),""))</f>
        <v/>
      </c>
      <c r="H267" s="183">
        <f>IF($B267="","",IFERROR(XLOOKUP($B267,'Daily Update'!$A:$A,'Daily Update'!$D:$D),""))</f>
        <v/>
      </c>
      <c r="I267" s="181">
        <f>IF($B267="","",IFERROR(XLOOKUP($B267,'Daily Update'!$A:$A,'Daily Update'!$E:$E),""))</f>
        <v/>
      </c>
      <c r="J267" s="181">
        <f>IF($B267="","",IFERROR(XLOOKUP($B267,'Daily Update'!$A:$A,'Daily Update'!$F:$F),""))</f>
        <v/>
      </c>
      <c r="K267" s="181">
        <f>IF($B267="","",IFERROR(XLOOKUP($B267,'Daily Update'!$A:$A,'Daily Update'!$G:$G),""))</f>
        <v/>
      </c>
      <c r="L267" s="181">
        <f>IF($B267="","",IFERROR(XLOOKUP($B267,'Daily Update'!$A:$A,'Daily Update'!$H:$H),""))</f>
        <v/>
      </c>
      <c r="M267" s="181">
        <f>IF($B267="","",IFERROR(XLOOKUP($B267,'Daily Update'!$A:$A,'Daily Update'!$I:$I),""))</f>
        <v/>
      </c>
      <c r="N267" s="181">
        <f>IF($B267="","",IFERROR(XLOOKUP($B267,'Daily Update'!$A:$A,'Daily Update'!$J:$J),""))</f>
        <v/>
      </c>
    </row>
    <row r="268">
      <c r="G268" s="182">
        <f>IF($B268="","",IFERROR(XLOOKUP($B268,'Daily Update'!$A:$A,'Daily Update'!$C:$C),""))</f>
        <v/>
      </c>
      <c r="H268" s="183">
        <f>IF($B268="","",IFERROR(XLOOKUP($B268,'Daily Update'!$A:$A,'Daily Update'!$D:$D),""))</f>
        <v/>
      </c>
      <c r="I268" s="181">
        <f>IF($B268="","",IFERROR(XLOOKUP($B268,'Daily Update'!$A:$A,'Daily Update'!$E:$E),""))</f>
        <v/>
      </c>
      <c r="J268" s="181">
        <f>IF($B268="","",IFERROR(XLOOKUP($B268,'Daily Update'!$A:$A,'Daily Update'!$F:$F),""))</f>
        <v/>
      </c>
      <c r="K268" s="181">
        <f>IF($B268="","",IFERROR(XLOOKUP($B268,'Daily Update'!$A:$A,'Daily Update'!$G:$G),""))</f>
        <v/>
      </c>
      <c r="L268" s="181">
        <f>IF($B268="","",IFERROR(XLOOKUP($B268,'Daily Update'!$A:$A,'Daily Update'!$H:$H),""))</f>
        <v/>
      </c>
      <c r="M268" s="181">
        <f>IF($B268="","",IFERROR(XLOOKUP($B268,'Daily Update'!$A:$A,'Daily Update'!$I:$I),""))</f>
        <v/>
      </c>
      <c r="N268" s="181">
        <f>IF($B268="","",IFERROR(XLOOKUP($B268,'Daily Update'!$A:$A,'Daily Update'!$J:$J),""))</f>
        <v/>
      </c>
    </row>
    <row r="269">
      <c r="A269" s="38" t="inlineStr">
        <is>
          <t>SHP ETF TR NEOS S&amp;P 500 HIGH INCOME ETF</t>
        </is>
      </c>
      <c r="B269" s="8" t="inlineStr">
        <is>
          <t>SPYI</t>
        </is>
      </c>
      <c r="C269" s="7">
        <f>SUM(C270:C278)</f>
        <v/>
      </c>
      <c r="D269" s="8" t="inlineStr">
        <is>
          <t>SPYI</t>
        </is>
      </c>
      <c r="E269" s="38" t="inlineStr">
        <is>
          <t>IRA</t>
        </is>
      </c>
      <c r="F269" s="38" t="n"/>
      <c r="G269" s="182" t="n">
        <v>53.33</v>
      </c>
      <c r="H269" s="183" t="n">
        <v>3214400</v>
      </c>
      <c r="I269" s="181" t="n">
        <v>-0.00392228</v>
      </c>
      <c r="J269" s="181" t="n">
        <v>-0.00243167</v>
      </c>
      <c r="K269" s="181" t="n">
        <v>0.02513559</v>
      </c>
      <c r="L269" s="181" t="n">
        <v>0.21245041</v>
      </c>
      <c r="M269" s="181" t="n">
        <v>0.36003304</v>
      </c>
      <c r="N269" s="181" t="n"/>
    </row>
    <row r="270">
      <c r="A270" t="inlineStr">
        <is>
          <t xml:space="preserve">Meta Platforms Inc Class A </t>
        </is>
      </c>
      <c r="B270" t="inlineStr">
        <is>
          <t>META</t>
        </is>
      </c>
      <c r="C270" s="4" t="n">
        <v>0.0228</v>
      </c>
      <c r="D270" s="2" t="inlineStr">
        <is>
          <t>SPYI</t>
        </is>
      </c>
      <c r="E270" t="inlineStr">
        <is>
          <t>ROTH</t>
        </is>
      </c>
      <c r="G270" s="182" t="n">
        <v>602.61</v>
      </c>
      <c r="H270" s="183" t="n">
        <v>11720900</v>
      </c>
      <c r="I270" s="181" t="n">
        <v>-0.01407051</v>
      </c>
      <c r="J270" s="181" t="n">
        <v>-0.00064679</v>
      </c>
      <c r="K270" s="181" t="n">
        <v>-0.12481302</v>
      </c>
      <c r="L270" s="181" t="n">
        <v>-0.05611858</v>
      </c>
      <c r="M270" s="181" t="n">
        <v>0.28561643</v>
      </c>
      <c r="N270" s="181" t="n">
        <v>0.90621436</v>
      </c>
    </row>
    <row r="271">
      <c r="A271" t="inlineStr">
        <is>
          <t xml:space="preserve">Alphabet Inc Class C </t>
        </is>
      </c>
      <c r="B271" t="inlineStr">
        <is>
          <t>GOOG</t>
        </is>
      </c>
      <c r="C271" s="4" t="n">
        <v>0.0296</v>
      </c>
      <c r="D271" s="2" t="inlineStr">
        <is>
          <t>SPYI</t>
        </is>
      </c>
      <c r="E271" t="inlineStr">
        <is>
          <t>ROTH</t>
        </is>
      </c>
      <c r="G271" s="182" t="n">
        <v>384.9</v>
      </c>
      <c r="H271" s="183" t="n">
        <v>25497700</v>
      </c>
      <c r="I271" s="181" t="n">
        <v>-0.02088472</v>
      </c>
      <c r="J271" s="181" t="n">
        <v>0.00281378</v>
      </c>
      <c r="K271" s="181" t="n">
        <v>0.13406011</v>
      </c>
      <c r="L271" s="181" t="n">
        <v>1.30077221</v>
      </c>
      <c r="M271" s="181" t="n">
        <v>1.18884331</v>
      </c>
      <c r="N271" s="181" t="n">
        <v>2.2941019</v>
      </c>
    </row>
    <row r="272">
      <c r="A272" t="inlineStr">
        <is>
          <t xml:space="preserve">Broadcom Inc </t>
        </is>
      </c>
      <c r="B272" t="inlineStr">
        <is>
          <t>AVGO</t>
        </is>
      </c>
      <c r="C272" s="4" t="n">
        <v>0.0327</v>
      </c>
      <c r="D272" s="2" t="inlineStr">
        <is>
          <t>SPYI</t>
        </is>
      </c>
      <c r="E272" t="inlineStr">
        <is>
          <t>ROTH</t>
        </is>
      </c>
      <c r="G272" s="182" t="n">
        <v>411.07</v>
      </c>
      <c r="H272" s="183" t="n">
        <v>20620900</v>
      </c>
      <c r="I272" s="181" t="n">
        <v>-0.02291361</v>
      </c>
      <c r="J272" s="181" t="n">
        <v>-0.01962791</v>
      </c>
      <c r="K272" s="181" t="n">
        <v>0.01114281</v>
      </c>
      <c r="L272" s="181" t="n">
        <v>0.7968204800000001</v>
      </c>
      <c r="M272" s="181" t="n">
        <v>2.00630568</v>
      </c>
      <c r="N272" s="181" t="n">
        <v>8.985732649999999</v>
      </c>
    </row>
    <row r="273">
      <c r="A273" t="inlineStr">
        <is>
          <t xml:space="preserve">Alphabet Inc Class A </t>
        </is>
      </c>
      <c r="B273" t="inlineStr">
        <is>
          <t>GOOGL</t>
        </is>
      </c>
      <c r="C273" s="4" t="n">
        <v>0.0371</v>
      </c>
      <c r="D273" s="2" t="inlineStr">
        <is>
          <t>SPYI</t>
        </is>
      </c>
      <c r="E273" t="inlineStr">
        <is>
          <t>ROTH</t>
        </is>
      </c>
      <c r="G273" s="182" t="n">
        <v>387.66</v>
      </c>
      <c r="H273" s="183" t="n">
        <v>39458400</v>
      </c>
      <c r="I273" s="181" t="n">
        <v>-0.02337884</v>
      </c>
      <c r="J273" s="181" t="n">
        <v>0.0008003</v>
      </c>
      <c r="K273" s="181" t="n">
        <v>0.13457039</v>
      </c>
      <c r="L273" s="181" t="n">
        <v>1.33580064</v>
      </c>
      <c r="M273" s="181" t="n">
        <v>1.22006163</v>
      </c>
      <c r="N273" s="181" t="n">
        <v>2.38857827</v>
      </c>
    </row>
    <row r="274">
      <c r="A274" t="inlineStr">
        <is>
          <t xml:space="preserve">Amazon.com Inc </t>
        </is>
      </c>
      <c r="B274" t="inlineStr">
        <is>
          <t>AMZN</t>
        </is>
      </c>
      <c r="C274" s="4" t="n">
        <v>0.0429</v>
      </c>
      <c r="D274" s="2" t="inlineStr">
        <is>
          <t>SPYI</t>
        </is>
      </c>
      <c r="E274" t="inlineStr">
        <is>
          <t>ROTH</t>
        </is>
      </c>
      <c r="G274" s="182" t="n">
        <v>259.34</v>
      </c>
      <c r="H274" s="183" t="n">
        <v>40269100</v>
      </c>
      <c r="I274" s="181" t="n">
        <v>-0.02084116</v>
      </c>
      <c r="J274" s="181" t="n">
        <v>-0.02437744</v>
      </c>
      <c r="K274" s="181" t="n">
        <v>0.0350415</v>
      </c>
      <c r="L274" s="181" t="n">
        <v>0.25795495</v>
      </c>
      <c r="M274" s="181" t="n">
        <v>0.40411478</v>
      </c>
      <c r="N274" s="181" t="n">
        <v>0.59707848</v>
      </c>
    </row>
    <row r="275">
      <c r="A275" t="inlineStr">
        <is>
          <t xml:space="preserve">Microsoft Corp </t>
        </is>
      </c>
      <c r="B275" t="inlineStr">
        <is>
          <t>MSFT</t>
        </is>
      </c>
      <c r="C275" s="4" t="n">
        <v>0.0503</v>
      </c>
      <c r="D275" s="2" t="inlineStr">
        <is>
          <t>SPYI</t>
        </is>
      </c>
      <c r="E275" t="inlineStr">
        <is>
          <t>ROTH</t>
        </is>
      </c>
      <c r="G275" s="182" t="n">
        <v>417.42</v>
      </c>
      <c r="H275" s="183" t="n">
        <v>32942800</v>
      </c>
      <c r="I275" s="181" t="n">
        <v>-0.01444963</v>
      </c>
      <c r="J275" s="181" t="n">
        <v>0.02366536</v>
      </c>
      <c r="K275" s="181" t="n">
        <v>-0.01270133</v>
      </c>
      <c r="L275" s="181" t="n">
        <v>-0.08504617</v>
      </c>
      <c r="M275" s="181" t="n">
        <v>0.00679123</v>
      </c>
      <c r="N275" s="181" t="n">
        <v>0.76083236</v>
      </c>
    </row>
    <row r="276">
      <c r="A276" t="inlineStr">
        <is>
          <t xml:space="preserve">Apple Inc </t>
        </is>
      </c>
      <c r="B276" t="inlineStr">
        <is>
          <t>AAPL</t>
        </is>
      </c>
      <c r="C276" s="4" t="n">
        <v>0.0672</v>
      </c>
      <c r="D276" s="2" t="inlineStr">
        <is>
          <t>SPYI</t>
        </is>
      </c>
      <c r="E276" t="inlineStr">
        <is>
          <t>ROTH</t>
        </is>
      </c>
      <c r="G276" s="182" t="n">
        <v>298.97</v>
      </c>
      <c r="H276" s="183" t="n">
        <v>42199700</v>
      </c>
      <c r="I276" s="181" t="n">
        <v>0.003794</v>
      </c>
      <c r="J276" s="181" t="n">
        <v>0.01414523</v>
      </c>
      <c r="K276" s="181" t="n">
        <v>0.10737315</v>
      </c>
      <c r="L276" s="181" t="n">
        <v>0.43766669</v>
      </c>
      <c r="M276" s="181" t="n">
        <v>0.5882436599999999</v>
      </c>
      <c r="N276" s="181" t="n">
        <v>1.40918958</v>
      </c>
    </row>
    <row r="277">
      <c r="A277" t="inlineStr">
        <is>
          <t xml:space="preserve">NVIDIA Corp </t>
        </is>
      </c>
      <c r="B277" t="inlineStr">
        <is>
          <t>NVDA</t>
        </is>
      </c>
      <c r="C277" s="4" t="n">
        <v>0.0803</v>
      </c>
      <c r="D277" s="2" t="inlineStr">
        <is>
          <t>SPYI</t>
        </is>
      </c>
      <c r="E277" t="inlineStr">
        <is>
          <t>ROTH</t>
        </is>
      </c>
      <c r="G277" s="182" t="n">
        <v>220.61</v>
      </c>
      <c r="H277" s="183" t="n">
        <v>140201600</v>
      </c>
      <c r="I277" s="181" t="n">
        <v>-0.00769165</v>
      </c>
      <c r="J277" s="181" t="n">
        <v>-0.00076999</v>
      </c>
      <c r="K277" s="181" t="n">
        <v>0.09386161</v>
      </c>
      <c r="L277" s="181" t="n">
        <v>0.62766095</v>
      </c>
      <c r="M277" s="181" t="n">
        <v>1.38686075</v>
      </c>
      <c r="N277" s="181" t="n">
        <v>14.1353981</v>
      </c>
    </row>
    <row r="278">
      <c r="A278" t="inlineStr">
        <is>
          <t>Other</t>
        </is>
      </c>
      <c r="B278" t="inlineStr">
        <is>
          <t>OTH</t>
        </is>
      </c>
      <c r="C278" s="4">
        <f>100%-(SUM(C270:C277))</f>
        <v/>
      </c>
      <c r="D278" s="2" t="inlineStr">
        <is>
          <t>SPYI</t>
        </is>
      </c>
      <c r="E278" t="inlineStr">
        <is>
          <t>ROTH</t>
        </is>
      </c>
      <c r="G278" s="182">
        <f>IF($B278="","",IFERROR(XLOOKUP($B278,'Daily Update'!$A:$A,'Daily Update'!$C:$C),""))</f>
        <v/>
      </c>
      <c r="H278" s="183">
        <f>IF($B278="","",IFERROR(XLOOKUP($B278,'Daily Update'!$A:$A,'Daily Update'!$D:$D),""))</f>
        <v/>
      </c>
      <c r="I278" s="181">
        <f>IF($B278="","",IFERROR(XLOOKUP($B278,'Daily Update'!$A:$A,'Daily Update'!$E:$E),""))</f>
        <v/>
      </c>
      <c r="J278" s="181">
        <f>IF($B278="","",IFERROR(XLOOKUP($B278,'Daily Update'!$A:$A,'Daily Update'!$F:$F),""))</f>
        <v/>
      </c>
      <c r="K278" s="181">
        <f>IF($B278="","",IFERROR(XLOOKUP($B278,'Daily Update'!$A:$A,'Daily Update'!$G:$G),""))</f>
        <v/>
      </c>
      <c r="L278" s="181">
        <f>IF($B278="","",IFERROR(XLOOKUP($B278,'Daily Update'!$A:$A,'Daily Update'!$H:$H),""))</f>
        <v/>
      </c>
      <c r="M278" s="181">
        <f>IF($B278="","",IFERROR(XLOOKUP($B278,'Daily Update'!$A:$A,'Daily Update'!$I:$I),""))</f>
        <v/>
      </c>
      <c r="N278" s="181">
        <f>IF($B278="","",IFERROR(XLOOKUP($B278,'Daily Update'!$A:$A,'Daily Update'!$J:$J),""))</f>
        <v/>
      </c>
    </row>
    <row r="279">
      <c r="G279" s="182">
        <f>IF($B279="","",IFERROR(XLOOKUP($B279,'Daily Update'!$A:$A,'Daily Update'!$C:$C),""))</f>
        <v/>
      </c>
      <c r="H279" s="183">
        <f>IF($B279="","",IFERROR(XLOOKUP($B279,'Daily Update'!$A:$A,'Daily Update'!$D:$D),""))</f>
        <v/>
      </c>
      <c r="I279" s="181">
        <f>IF($B279="","",IFERROR(XLOOKUP($B279,'Daily Update'!$A:$A,'Daily Update'!$E:$E),""))</f>
        <v/>
      </c>
      <c r="J279" s="181">
        <f>IF($B279="","",IFERROR(XLOOKUP($B279,'Daily Update'!$A:$A,'Daily Update'!$F:$F),""))</f>
        <v/>
      </c>
      <c r="K279" s="181">
        <f>IF($B279="","",IFERROR(XLOOKUP($B279,'Daily Update'!$A:$A,'Daily Update'!$G:$G),""))</f>
        <v/>
      </c>
      <c r="L279" s="181">
        <f>IF($B279="","",IFERROR(XLOOKUP($B279,'Daily Update'!$A:$A,'Daily Update'!$H:$H),""))</f>
        <v/>
      </c>
      <c r="M279" s="181">
        <f>IF($B279="","",IFERROR(XLOOKUP($B279,'Daily Update'!$A:$A,'Daily Update'!$I:$I),""))</f>
        <v/>
      </c>
      <c r="N279" s="181">
        <f>IF($B279="","",IFERROR(XLOOKUP($B279,'Daily Update'!$A:$A,'Daily Update'!$J:$J),""))</f>
        <v/>
      </c>
    </row>
    <row r="280">
      <c r="A280" s="38" t="inlineStr">
        <is>
          <t>VANECK ETF TR VANECK SEMICONDUCTOR ETF</t>
        </is>
      </c>
      <c r="B280" s="8" t="inlineStr">
        <is>
          <t>SMH</t>
        </is>
      </c>
      <c r="C280" s="7">
        <f>SUM(C281:C291)</f>
        <v/>
      </c>
      <c r="D280" s="8" t="inlineStr">
        <is>
          <t>SMH</t>
        </is>
      </c>
      <c r="E280" s="38" t="inlineStr">
        <is>
          <t>ROTH</t>
        </is>
      </c>
      <c r="F280" s="38" t="n"/>
      <c r="G280" s="182" t="n">
        <v>543.96</v>
      </c>
      <c r="H280" s="183" t="n">
        <v>11882000</v>
      </c>
      <c r="I280" s="181" t="n">
        <v>-0.00402803</v>
      </c>
      <c r="J280" s="181" t="n">
        <v>-0.0308062</v>
      </c>
      <c r="K280" s="181" t="n">
        <v>0.17192351</v>
      </c>
      <c r="L280" s="181" t="n">
        <v>1.21800989</v>
      </c>
      <c r="M280" s="181" t="n">
        <v>1.38033028</v>
      </c>
      <c r="N280" s="181" t="n">
        <v>3.68401634</v>
      </c>
    </row>
    <row r="281">
      <c r="A281" t="inlineStr">
        <is>
          <t xml:space="preserve">Lam Research Corp </t>
        </is>
      </c>
      <c r="B281" t="inlineStr">
        <is>
          <t>LRCX</t>
        </is>
      </c>
      <c r="C281" s="4" t="n">
        <v>0.0411</v>
      </c>
      <c r="D281" s="2" t="inlineStr">
        <is>
          <t>SMH</t>
        </is>
      </c>
      <c r="E281" t="inlineStr">
        <is>
          <t>ROTH</t>
        </is>
      </c>
      <c r="G281" s="182" t="n">
        <v>273.38</v>
      </c>
      <c r="H281" s="183" t="n">
        <v>8303700</v>
      </c>
      <c r="I281" s="181" t="n">
        <v>-0.01647714</v>
      </c>
      <c r="J281" s="181" t="n">
        <v>-0.05483331</v>
      </c>
      <c r="K281" s="181" t="n">
        <v>0.0215994</v>
      </c>
      <c r="L281" s="181" t="n">
        <v>2.28540987</v>
      </c>
      <c r="M281" s="181" t="n">
        <v>2.05266772</v>
      </c>
      <c r="N281" s="181" t="n">
        <v>3.60109692</v>
      </c>
    </row>
    <row r="282">
      <c r="A282" t="inlineStr">
        <is>
          <t xml:space="preserve">Analog Devices Inc </t>
        </is>
      </c>
      <c r="B282" t="inlineStr">
        <is>
          <t>ADI</t>
        </is>
      </c>
      <c r="C282" s="4" t="n">
        <v>0.0441</v>
      </c>
      <c r="D282" s="2" t="inlineStr">
        <is>
          <t>SMH</t>
        </is>
      </c>
      <c r="E282" t="inlineStr">
        <is>
          <t>ROTH</t>
        </is>
      </c>
      <c r="G282" s="182" t="n">
        <v>414.31</v>
      </c>
      <c r="H282" s="183" t="n">
        <v>6181000</v>
      </c>
      <c r="I282" s="181" t="n">
        <v>-0.01020113</v>
      </c>
      <c r="J282" s="181" t="n">
        <v>-0.01272488</v>
      </c>
      <c r="K282" s="181" t="n">
        <v>0.11538561</v>
      </c>
      <c r="L282" s="181" t="n">
        <v>0.87330149</v>
      </c>
      <c r="M282" s="181" t="n">
        <v>0.99744348</v>
      </c>
      <c r="N282" s="181" t="n">
        <v>1.83188431</v>
      </c>
    </row>
    <row r="283">
      <c r="A283" t="inlineStr">
        <is>
          <t xml:space="preserve">KLA Corp </t>
        </is>
      </c>
      <c r="B283" t="inlineStr">
        <is>
          <t>KLAC</t>
        </is>
      </c>
      <c r="C283" s="4" t="n">
        <v>0.0449</v>
      </c>
      <c r="D283" s="2" t="inlineStr">
        <is>
          <t>SMH</t>
        </is>
      </c>
      <c r="E283" t="inlineStr">
        <is>
          <t>ROTH</t>
        </is>
      </c>
      <c r="G283" s="182" t="n">
        <v>1740.58</v>
      </c>
      <c r="H283" s="183" t="n">
        <v>1117000</v>
      </c>
      <c r="I283" s="181" t="n">
        <v>-0.00903527</v>
      </c>
      <c r="J283" s="181" t="n">
        <v>-0.03784384</v>
      </c>
      <c r="K283" s="181" t="n">
        <v>-0.02715046</v>
      </c>
      <c r="L283" s="181" t="n">
        <v>1.2258907</v>
      </c>
      <c r="M283" s="181" t="n">
        <v>1.36477369</v>
      </c>
      <c r="N283" s="181" t="n">
        <v>4.84341439</v>
      </c>
    </row>
    <row r="284">
      <c r="A284" t="inlineStr">
        <is>
          <t xml:space="preserve">Texas Instruments Inc </t>
        </is>
      </c>
      <c r="B284" t="inlineStr">
        <is>
          <t>TXN</t>
        </is>
      </c>
      <c r="C284" s="4" t="n">
        <v>0.049</v>
      </c>
      <c r="D284" s="2" t="inlineStr">
        <is>
          <t>SMH</t>
        </is>
      </c>
      <c r="E284" t="inlineStr">
        <is>
          <t>ROTH</t>
        </is>
      </c>
      <c r="G284" s="182" t="n">
        <v>302.31</v>
      </c>
      <c r="H284" s="183" t="n">
        <v>7295000</v>
      </c>
      <c r="I284" s="181" t="n">
        <v>0.00568859</v>
      </c>
      <c r="J284" s="181" t="n">
        <v>0.0241894</v>
      </c>
      <c r="K284" s="181" t="n">
        <v>0.32210441</v>
      </c>
      <c r="L284" s="181" t="n">
        <v>0.65015058</v>
      </c>
      <c r="M284" s="181" t="n">
        <v>0.64037904</v>
      </c>
      <c r="N284" s="181" t="n">
        <v>0.88057441</v>
      </c>
    </row>
    <row r="285">
      <c r="A285" t="inlineStr">
        <is>
          <t xml:space="preserve">Micron Technology Inc </t>
        </is>
      </c>
      <c r="B285" t="inlineStr">
        <is>
          <t>MU</t>
        </is>
      </c>
      <c r="C285" s="4" t="n">
        <v>0.0498</v>
      </c>
      <c r="D285" s="2" t="inlineStr">
        <is>
          <t>SMH</t>
        </is>
      </c>
      <c r="E285" t="inlineStr">
        <is>
          <t>ROTH</t>
        </is>
      </c>
      <c r="G285" s="182" t="n">
        <v>698.74</v>
      </c>
      <c r="H285" s="183" t="n">
        <v>61450300</v>
      </c>
      <c r="I285" s="181" t="n">
        <v>0.02523698</v>
      </c>
      <c r="J285" s="181" t="n">
        <v>-0.08849699</v>
      </c>
      <c r="K285" s="181" t="n">
        <v>0.53545604</v>
      </c>
      <c r="L285" s="181" t="n">
        <v>6.09997452</v>
      </c>
      <c r="M285" s="181" t="n">
        <v>4.6161004</v>
      </c>
      <c r="N285" s="181" t="n">
        <v>7.83083375</v>
      </c>
    </row>
    <row r="286">
      <c r="A286" t="inlineStr">
        <is>
          <t xml:space="preserve">Advanced Micro Devices Inc </t>
        </is>
      </c>
      <c r="B286" t="inlineStr">
        <is>
          <t>AMD</t>
        </is>
      </c>
      <c r="C286" s="4" t="n">
        <v>0.0595</v>
      </c>
      <c r="D286" s="2" t="inlineStr">
        <is>
          <t>SMH</t>
        </is>
      </c>
      <c r="E286" t="inlineStr">
        <is>
          <t>ROTH</t>
        </is>
      </c>
      <c r="G286" s="182" t="n">
        <v>414.05</v>
      </c>
      <c r="H286" s="183" t="n">
        <v>38637700</v>
      </c>
      <c r="I286" s="181" t="n">
        <v>-0.01648496</v>
      </c>
      <c r="J286" s="181" t="n">
        <v>-0.07637917</v>
      </c>
      <c r="K286" s="181" t="n">
        <v>0.48730186</v>
      </c>
      <c r="L286" s="181" t="n">
        <v>2.6085933</v>
      </c>
      <c r="M286" s="181" t="n">
        <v>1.5174803</v>
      </c>
      <c r="N286" s="181" t="n">
        <v>4.30425315</v>
      </c>
    </row>
    <row r="287">
      <c r="A287" t="inlineStr">
        <is>
          <t xml:space="preserve">Intel Corp </t>
        </is>
      </c>
      <c r="B287" t="inlineStr">
        <is>
          <t>INTC</t>
        </is>
      </c>
      <c r="C287" s="4" t="n">
        <v>0.07140000000000001</v>
      </c>
      <c r="D287" s="2" t="inlineStr">
        <is>
          <t>SMH</t>
        </is>
      </c>
      <c r="E287" t="inlineStr">
        <is>
          <t>ROTH</t>
        </is>
      </c>
      <c r="G287" s="182" t="n">
        <v>110.8</v>
      </c>
      <c r="H287" s="183" t="n">
        <v>149436900</v>
      </c>
      <c r="I287" s="181" t="n">
        <v>0.02431363</v>
      </c>
      <c r="J287" s="181" t="n">
        <v>-0.08133652</v>
      </c>
      <c r="K287" s="181" t="n">
        <v>0.61751829</v>
      </c>
      <c r="L287" s="181" t="n">
        <v>4.18241382</v>
      </c>
      <c r="M287" s="181" t="n">
        <v>2.50307486</v>
      </c>
      <c r="N287" s="181" t="n">
        <v>1.1640348</v>
      </c>
    </row>
    <row r="288">
      <c r="A288" t="inlineStr">
        <is>
          <t xml:space="preserve">Broadcom Inc </t>
        </is>
      </c>
      <c r="B288" t="inlineStr">
        <is>
          <t>AVGO</t>
        </is>
      </c>
      <c r="C288" s="4" t="n">
        <v>0.07829999999999999</v>
      </c>
      <c r="D288" s="2" t="inlineStr">
        <is>
          <t>SMH</t>
        </is>
      </c>
      <c r="E288" t="inlineStr">
        <is>
          <t>ROTH</t>
        </is>
      </c>
      <c r="G288" s="182" t="n">
        <v>411.07</v>
      </c>
      <c r="H288" s="183" t="n">
        <v>20620900</v>
      </c>
      <c r="I288" s="181" t="n">
        <v>-0.02291361</v>
      </c>
      <c r="J288" s="181" t="n">
        <v>-0.01962791</v>
      </c>
      <c r="K288" s="181" t="n">
        <v>0.01114281</v>
      </c>
      <c r="L288" s="181" t="n">
        <v>0.7968204800000001</v>
      </c>
      <c r="M288" s="181" t="n">
        <v>2.00630568</v>
      </c>
      <c r="N288" s="181" t="n">
        <v>8.985732649999999</v>
      </c>
    </row>
    <row r="289">
      <c r="A289" t="inlineStr">
        <is>
          <t xml:space="preserve">Taiwan Semiconductor Manufacturing Co Ltd ADR </t>
        </is>
      </c>
      <c r="B289" t="inlineStr">
        <is>
          <t>TSM</t>
        </is>
      </c>
      <c r="C289" s="4" t="n">
        <v>0.1059</v>
      </c>
      <c r="D289" s="2" t="inlineStr">
        <is>
          <t>SMH</t>
        </is>
      </c>
      <c r="E289" t="inlineStr">
        <is>
          <t>ROTH</t>
        </is>
      </c>
      <c r="G289" s="182" t="n">
        <v>392.61</v>
      </c>
      <c r="H289" s="183" t="n">
        <v>14054400</v>
      </c>
      <c r="I289" s="181" t="n">
        <v>-0.00843548</v>
      </c>
      <c r="J289" s="181" t="n">
        <v>-0.01175497</v>
      </c>
      <c r="K289" s="181" t="n">
        <v>0.05967607</v>
      </c>
      <c r="L289" s="181" t="n">
        <v>1.05412214</v>
      </c>
      <c r="M289" s="181" t="n">
        <v>1.65712899</v>
      </c>
      <c r="N289" s="181" t="n">
        <v>2.76546543</v>
      </c>
    </row>
    <row r="290">
      <c r="A290" t="inlineStr">
        <is>
          <t xml:space="preserve">NVIDIA Corp </t>
        </is>
      </c>
      <c r="B290" t="inlineStr">
        <is>
          <t>NVDA</t>
        </is>
      </c>
      <c r="C290" s="4" t="n">
        <v>0.1809</v>
      </c>
      <c r="D290" s="2" t="inlineStr">
        <is>
          <t>SMH</t>
        </is>
      </c>
      <c r="E290" t="inlineStr">
        <is>
          <t>ROTH</t>
        </is>
      </c>
      <c r="G290" s="182" t="n">
        <v>220.61</v>
      </c>
      <c r="H290" s="183" t="n">
        <v>140201600</v>
      </c>
      <c r="I290" s="181" t="n">
        <v>-0.00769165</v>
      </c>
      <c r="J290" s="181" t="n">
        <v>-0.00076999</v>
      </c>
      <c r="K290" s="181" t="n">
        <v>0.09386161</v>
      </c>
      <c r="L290" s="181" t="n">
        <v>0.62766095</v>
      </c>
      <c r="M290" s="181" t="n">
        <v>1.38686075</v>
      </c>
      <c r="N290" s="181" t="n">
        <v>14.1353981</v>
      </c>
    </row>
    <row r="291">
      <c r="A291" t="inlineStr">
        <is>
          <t>Other</t>
        </is>
      </c>
      <c r="B291" t="inlineStr">
        <is>
          <t>OTH</t>
        </is>
      </c>
      <c r="C291" s="4">
        <f>100%-(SUM(C281:C290))</f>
        <v/>
      </c>
      <c r="D291" s="2" t="inlineStr">
        <is>
          <t>SMH</t>
        </is>
      </c>
      <c r="E291" t="inlineStr">
        <is>
          <t>ROTH</t>
        </is>
      </c>
      <c r="G291" s="182">
        <f>IF($B291="","",IFERROR(XLOOKUP($B291,'Daily Update'!$A:$A,'Daily Update'!$C:$C),""))</f>
        <v/>
      </c>
      <c r="H291" s="183">
        <f>IF($B291="","",IFERROR(XLOOKUP($B291,'Daily Update'!$A:$A,'Daily Update'!$D:$D),""))</f>
        <v/>
      </c>
      <c r="I291" s="181">
        <f>IF($B291="","",IFERROR(XLOOKUP($B291,'Daily Update'!$A:$A,'Daily Update'!$E:$E),""))</f>
        <v/>
      </c>
      <c r="J291" s="181">
        <f>IF($B291="","",IFERROR(XLOOKUP($B291,'Daily Update'!$A:$A,'Daily Update'!$F:$F),""))</f>
        <v/>
      </c>
      <c r="K291" s="181">
        <f>IF($B291="","",IFERROR(XLOOKUP($B291,'Daily Update'!$A:$A,'Daily Update'!$G:$G),""))</f>
        <v/>
      </c>
      <c r="L291" s="181">
        <f>IF($B291="","",IFERROR(XLOOKUP($B291,'Daily Update'!$A:$A,'Daily Update'!$H:$H),""))</f>
        <v/>
      </c>
      <c r="M291" s="181">
        <f>IF($B291="","",IFERROR(XLOOKUP($B291,'Daily Update'!$A:$A,'Daily Update'!$I:$I),""))</f>
        <v/>
      </c>
      <c r="N291" s="181">
        <f>IF($B291="","",IFERROR(XLOOKUP($B291,'Daily Update'!$A:$A,'Daily Update'!$J:$J),""))</f>
        <v/>
      </c>
    </row>
    <row r="292">
      <c r="G292" s="182">
        <f>IF($B292="","",IFERROR(XLOOKUP($B292,'Daily Update'!$A:$A,'Daily Update'!$C:$C),""))</f>
        <v/>
      </c>
      <c r="H292" s="183">
        <f>IF($B292="","",IFERROR(XLOOKUP($B292,'Daily Update'!$A:$A,'Daily Update'!$D:$D),""))</f>
        <v/>
      </c>
      <c r="I292" s="181">
        <f>IF($B292="","",IFERROR(XLOOKUP($B292,'Daily Update'!$A:$A,'Daily Update'!$E:$E),""))</f>
        <v/>
      </c>
      <c r="J292" s="181">
        <f>IF($B292="","",IFERROR(XLOOKUP($B292,'Daily Update'!$A:$A,'Daily Update'!$F:$F),""))</f>
        <v/>
      </c>
      <c r="K292" s="181">
        <f>IF($B292="","",IFERROR(XLOOKUP($B292,'Daily Update'!$A:$A,'Daily Update'!$G:$G),""))</f>
        <v/>
      </c>
      <c r="L292" s="181">
        <f>IF($B292="","",IFERROR(XLOOKUP($B292,'Daily Update'!$A:$A,'Daily Update'!$H:$H),""))</f>
        <v/>
      </c>
      <c r="M292" s="181">
        <f>IF($B292="","",IFERROR(XLOOKUP($B292,'Daily Update'!$A:$A,'Daily Update'!$I:$I),""))</f>
        <v/>
      </c>
      <c r="N292" s="181">
        <f>IF($B292="","",IFERROR(XLOOKUP($B292,'Daily Update'!$A:$A,'Daily Update'!$J:$J),""))</f>
        <v/>
      </c>
    </row>
    <row r="293">
      <c r="A293" s="38" t="inlineStr">
        <is>
          <t>INVESCO QQQ TR UNIT SER 1</t>
        </is>
      </c>
      <c r="B293" s="38" t="inlineStr">
        <is>
          <t>QQQ</t>
        </is>
      </c>
      <c r="C293" s="7">
        <f>SUM(C294:C303)</f>
        <v/>
      </c>
      <c r="D293" s="38" t="inlineStr">
        <is>
          <t>QQQ</t>
        </is>
      </c>
      <c r="E293" s="38" t="inlineStr">
        <is>
          <t>ROTH</t>
        </is>
      </c>
      <c r="F293" s="38" t="n"/>
      <c r="G293" s="182" t="n">
        <v>701.53</v>
      </c>
      <c r="H293" s="183" t="n">
        <v>46590800</v>
      </c>
      <c r="I293" s="181" t="n">
        <v>-0.00616249</v>
      </c>
      <c r="J293" s="181" t="n">
        <v>-0.00807358</v>
      </c>
      <c r="K293" s="181" t="n">
        <v>0.08118988000000001</v>
      </c>
      <c r="L293" s="181" t="n">
        <v>0.35040657</v>
      </c>
      <c r="M293" s="181" t="n">
        <v>0.56993664</v>
      </c>
      <c r="N293" s="181" t="n">
        <v>1.19842012</v>
      </c>
    </row>
    <row r="294">
      <c r="A294" t="inlineStr">
        <is>
          <t>Meta Platforms, Inc</t>
        </is>
      </c>
      <c r="B294" t="inlineStr">
        <is>
          <t>META</t>
        </is>
      </c>
      <c r="C294" s="4" t="n">
        <v>0.0329</v>
      </c>
      <c r="D294" t="inlineStr">
        <is>
          <t>QQQ</t>
        </is>
      </c>
      <c r="E294" t="inlineStr">
        <is>
          <t>ROTH</t>
        </is>
      </c>
      <c r="G294" s="182" t="n">
        <v>602.61</v>
      </c>
      <c r="H294" s="183" t="n">
        <v>11720900</v>
      </c>
      <c r="I294" s="181" t="n">
        <v>-0.01407051</v>
      </c>
      <c r="J294" s="181" t="n">
        <v>-0.00064679</v>
      </c>
      <c r="K294" s="181" t="n">
        <v>-0.12481302</v>
      </c>
      <c r="L294" s="181" t="n">
        <v>-0.05611858</v>
      </c>
      <c r="M294" s="181" t="n">
        <v>0.28561643</v>
      </c>
      <c r="N294" s="181" t="n">
        <v>0.90621436</v>
      </c>
    </row>
    <row r="295">
      <c r="A295" t="inlineStr">
        <is>
          <t>Tesla</t>
        </is>
      </c>
      <c r="B295" t="inlineStr">
        <is>
          <t>TSLA</t>
        </is>
      </c>
      <c r="C295" s="4" t="n">
        <v>0.0337</v>
      </c>
      <c r="D295" t="inlineStr">
        <is>
          <t>QQQ</t>
        </is>
      </c>
      <c r="E295" t="inlineStr">
        <is>
          <t>ROTH</t>
        </is>
      </c>
      <c r="G295" s="182" t="n">
        <v>404.11</v>
      </c>
      <c r="H295" s="183" t="n">
        <v>46354700</v>
      </c>
      <c r="I295" s="181" t="n">
        <v>-0.01434183</v>
      </c>
      <c r="J295" s="181" t="n">
        <v>-0.06768953</v>
      </c>
      <c r="K295" s="181" t="n">
        <v>0.008711470000000001</v>
      </c>
      <c r="L295" s="181" t="n">
        <v>0.18129729</v>
      </c>
      <c r="M295" s="181" t="n">
        <v>1.27718906</v>
      </c>
      <c r="N295" s="181" t="n">
        <v>1.06607234</v>
      </c>
    </row>
    <row r="296">
      <c r="A296" t="inlineStr">
        <is>
          <t>Broadcom Inc</t>
        </is>
      </c>
      <c r="B296" t="inlineStr">
        <is>
          <t>AVGO</t>
        </is>
      </c>
      <c r="C296" s="4" t="n">
        <v>0.0365</v>
      </c>
      <c r="D296" t="inlineStr">
        <is>
          <t>QQQ</t>
        </is>
      </c>
      <c r="E296" t="inlineStr">
        <is>
          <t>ROTH</t>
        </is>
      </c>
      <c r="G296" s="182" t="n">
        <v>411.07</v>
      </c>
      <c r="H296" s="183" t="n">
        <v>20620900</v>
      </c>
      <c r="I296" s="181" t="n">
        <v>-0.02291361</v>
      </c>
      <c r="J296" s="181" t="n">
        <v>-0.01962791</v>
      </c>
      <c r="K296" s="181" t="n">
        <v>0.01114281</v>
      </c>
      <c r="L296" s="181" t="n">
        <v>0.7968204800000001</v>
      </c>
      <c r="M296" s="181" t="n">
        <v>2.00630568</v>
      </c>
      <c r="N296" s="181" t="n">
        <v>8.985732649999999</v>
      </c>
    </row>
    <row r="297">
      <c r="A297" t="inlineStr">
        <is>
          <t>Alphabet Inc</t>
        </is>
      </c>
      <c r="B297" t="inlineStr">
        <is>
          <t>GOOG</t>
        </is>
      </c>
      <c r="C297" s="4" t="n">
        <v>0.0381</v>
      </c>
      <c r="D297" t="inlineStr">
        <is>
          <t>QQQ</t>
        </is>
      </c>
      <c r="E297" t="inlineStr">
        <is>
          <t>ROTH</t>
        </is>
      </c>
      <c r="G297" s="182" t="n">
        <v>384.9</v>
      </c>
      <c r="H297" s="183" t="n">
        <v>25497700</v>
      </c>
      <c r="I297" s="181" t="n">
        <v>-0.02088472</v>
      </c>
      <c r="J297" s="181" t="n">
        <v>0.00281378</v>
      </c>
      <c r="K297" s="181" t="n">
        <v>0.13406011</v>
      </c>
      <c r="L297" s="181" t="n">
        <v>1.30077221</v>
      </c>
      <c r="M297" s="181" t="n">
        <v>1.18884331</v>
      </c>
      <c r="N297" s="181" t="n">
        <v>2.2941019</v>
      </c>
    </row>
    <row r="298">
      <c r="A298" t="inlineStr">
        <is>
          <t>Alphabet Inc</t>
        </is>
      </c>
      <c r="B298" t="inlineStr">
        <is>
          <t>GOOGL</t>
        </is>
      </c>
      <c r="C298" s="4" t="n">
        <v>0.0412</v>
      </c>
      <c r="D298" t="inlineStr">
        <is>
          <t>QQQ</t>
        </is>
      </c>
      <c r="E298" t="inlineStr">
        <is>
          <t>ROTH</t>
        </is>
      </c>
      <c r="G298" s="182" t="n">
        <v>387.66</v>
      </c>
      <c r="H298" s="183" t="n">
        <v>39458400</v>
      </c>
      <c r="I298" s="181" t="n">
        <v>-0.02337884</v>
      </c>
      <c r="J298" s="181" t="n">
        <v>0.0008003</v>
      </c>
      <c r="K298" s="181" t="n">
        <v>0.13457039</v>
      </c>
      <c r="L298" s="181" t="n">
        <v>1.33580064</v>
      </c>
      <c r="M298" s="181" t="n">
        <v>1.22006163</v>
      </c>
      <c r="N298" s="181" t="n">
        <v>2.38857827</v>
      </c>
    </row>
    <row r="299">
      <c r="A299" t="inlineStr">
        <is>
          <t>Amazon.com, Inc</t>
        </is>
      </c>
      <c r="B299" t="inlineStr">
        <is>
          <t>AMZN</t>
        </is>
      </c>
      <c r="C299" s="4" t="n">
        <v>0.0518</v>
      </c>
      <c r="D299" t="inlineStr">
        <is>
          <t>QQQ</t>
        </is>
      </c>
      <c r="E299" t="inlineStr">
        <is>
          <t>ROTH</t>
        </is>
      </c>
      <c r="G299" s="182" t="n">
        <v>259.34</v>
      </c>
      <c r="H299" s="183" t="n">
        <v>40269100</v>
      </c>
      <c r="I299" s="181" t="n">
        <v>-0.02084116</v>
      </c>
      <c r="J299" s="181" t="n">
        <v>-0.02437744</v>
      </c>
      <c r="K299" s="181" t="n">
        <v>0.0350415</v>
      </c>
      <c r="L299" s="181" t="n">
        <v>0.25795495</v>
      </c>
      <c r="M299" s="181" t="n">
        <v>0.40411478</v>
      </c>
      <c r="N299" s="181" t="n">
        <v>0.59707848</v>
      </c>
    </row>
    <row r="300">
      <c r="A300" t="inlineStr">
        <is>
          <t>Microsoft Corporation</t>
        </is>
      </c>
      <c r="B300" t="inlineStr">
        <is>
          <t>MSFT</t>
        </is>
      </c>
      <c r="C300" s="4" t="n">
        <v>0.0553</v>
      </c>
      <c r="D300" t="inlineStr">
        <is>
          <t>QQQ</t>
        </is>
      </c>
      <c r="E300" t="inlineStr">
        <is>
          <t>ROTH</t>
        </is>
      </c>
      <c r="G300" s="182" t="n">
        <v>417.42</v>
      </c>
      <c r="H300" s="183" t="n">
        <v>32942800</v>
      </c>
      <c r="I300" s="181" t="n">
        <v>-0.01444963</v>
      </c>
      <c r="J300" s="181" t="n">
        <v>0.02366536</v>
      </c>
      <c r="K300" s="181" t="n">
        <v>-0.01270133</v>
      </c>
      <c r="L300" s="181" t="n">
        <v>-0.08504617</v>
      </c>
      <c r="M300" s="181" t="n">
        <v>0.00679123</v>
      </c>
      <c r="N300" s="181" t="n">
        <v>0.76083236</v>
      </c>
    </row>
    <row r="301">
      <c r="A301" t="inlineStr">
        <is>
          <t>Apple Inc</t>
        </is>
      </c>
      <c r="B301" t="inlineStr">
        <is>
          <t>AAPL</t>
        </is>
      </c>
      <c r="C301" s="4" t="n">
        <v>0.0707</v>
      </c>
      <c r="D301" t="inlineStr">
        <is>
          <t>QQQ</t>
        </is>
      </c>
      <c r="E301" t="inlineStr">
        <is>
          <t>ROTH</t>
        </is>
      </c>
      <c r="G301" s="182" t="n">
        <v>298.97</v>
      </c>
      <c r="H301" s="183" t="n">
        <v>42199700</v>
      </c>
      <c r="I301" s="181" t="n">
        <v>0.003794</v>
      </c>
      <c r="J301" s="181" t="n">
        <v>0.01414523</v>
      </c>
      <c r="K301" s="181" t="n">
        <v>0.10737315</v>
      </c>
      <c r="L301" s="181" t="n">
        <v>0.43766669</v>
      </c>
      <c r="M301" s="181" t="n">
        <v>0.5882436599999999</v>
      </c>
      <c r="N301" s="181" t="n">
        <v>1.40918958</v>
      </c>
    </row>
    <row r="302">
      <c r="A302" t="inlineStr">
        <is>
          <t>NVIDIA Corporation</t>
        </is>
      </c>
      <c r="B302" t="inlineStr">
        <is>
          <t>NVDA</t>
        </is>
      </c>
      <c r="C302" s="4" t="n">
        <v>0.0857</v>
      </c>
      <c r="D302" t="inlineStr">
        <is>
          <t>QQQ</t>
        </is>
      </c>
      <c r="E302" t="inlineStr">
        <is>
          <t>ROTH</t>
        </is>
      </c>
      <c r="G302" s="182" t="n">
        <v>220.61</v>
      </c>
      <c r="H302" s="183" t="n">
        <v>140201600</v>
      </c>
      <c r="I302" s="181" t="n">
        <v>-0.00769165</v>
      </c>
      <c r="J302" s="181" t="n">
        <v>-0.00076999</v>
      </c>
      <c r="K302" s="181" t="n">
        <v>0.09386161</v>
      </c>
      <c r="L302" s="181" t="n">
        <v>0.62766095</v>
      </c>
      <c r="M302" s="181" t="n">
        <v>1.38686075</v>
      </c>
      <c r="N302" s="181" t="n">
        <v>14.1353981</v>
      </c>
    </row>
    <row r="303">
      <c r="A303" t="inlineStr">
        <is>
          <t>Other</t>
        </is>
      </c>
      <c r="B303" t="inlineStr">
        <is>
          <t>OTH</t>
        </is>
      </c>
      <c r="C303" s="4" t="n">
        <v>0.5541</v>
      </c>
      <c r="D303" t="inlineStr">
        <is>
          <t>QQQ</t>
        </is>
      </c>
      <c r="E303" t="inlineStr">
        <is>
          <t>ROTH</t>
        </is>
      </c>
      <c r="G303" s="182">
        <f>IF($B303="","",IFERROR(XLOOKUP($B303,'Daily Update'!$A:$A,'Daily Update'!$C:$C),""))</f>
        <v/>
      </c>
      <c r="H303" s="183">
        <f>IF($B303="","",IFERROR(XLOOKUP($B303,'Daily Update'!$A:$A,'Daily Update'!$D:$D),""))</f>
        <v/>
      </c>
      <c r="I303" s="181">
        <f>IF($B303="","",IFERROR(XLOOKUP($B303,'Daily Update'!$A:$A,'Daily Update'!$E:$E),""))</f>
        <v/>
      </c>
      <c r="J303" s="181">
        <f>IF($B303="","",IFERROR(XLOOKUP($B303,'Daily Update'!$A:$A,'Daily Update'!$F:$F),""))</f>
        <v/>
      </c>
      <c r="K303" s="181">
        <f>IF($B303="","",IFERROR(XLOOKUP($B303,'Daily Update'!$A:$A,'Daily Update'!$G:$G),""))</f>
        <v/>
      </c>
      <c r="L303" s="181">
        <f>IF($B303="","",IFERROR(XLOOKUP($B303,'Daily Update'!$A:$A,'Daily Update'!$H:$H),""))</f>
        <v/>
      </c>
      <c r="M303" s="181">
        <f>IF($B303="","",IFERROR(XLOOKUP($B303,'Daily Update'!$A:$A,'Daily Update'!$I:$I),""))</f>
        <v/>
      </c>
      <c r="N303" s="181">
        <f>IF($B303="","",IFERROR(XLOOKUP($B303,'Daily Update'!$A:$A,'Daily Update'!$J:$J),""))</f>
        <v/>
      </c>
    </row>
    <row r="304">
      <c r="G304" s="182">
        <f>IF($B304="","",IFERROR(XLOOKUP($B304,'Daily Update'!$A:$A,'Daily Update'!$C:$C),""))</f>
        <v/>
      </c>
      <c r="H304" s="183">
        <f>IF($B304="","",IFERROR(XLOOKUP($B304,'Daily Update'!$A:$A,'Daily Update'!$D:$D),""))</f>
        <v/>
      </c>
      <c r="I304" s="181">
        <f>IF($B304="","",IFERROR(XLOOKUP($B304,'Daily Update'!$A:$A,'Daily Update'!$E:$E),""))</f>
        <v/>
      </c>
      <c r="J304" s="181">
        <f>IF($B304="","",IFERROR(XLOOKUP($B304,'Daily Update'!$A:$A,'Daily Update'!$F:$F),""))</f>
        <v/>
      </c>
      <c r="K304" s="181">
        <f>IF($B304="","",IFERROR(XLOOKUP($B304,'Daily Update'!$A:$A,'Daily Update'!$G:$G),""))</f>
        <v/>
      </c>
      <c r="L304" s="181">
        <f>IF($B304="","",IFERROR(XLOOKUP($B304,'Daily Update'!$A:$A,'Daily Update'!$H:$H),""))</f>
        <v/>
      </c>
      <c r="M304" s="181">
        <f>IF($B304="","",IFERROR(XLOOKUP($B304,'Daily Update'!$A:$A,'Daily Update'!$I:$I),""))</f>
        <v/>
      </c>
      <c r="N304" s="181">
        <f>IF($B304="","",IFERROR(XLOOKUP($B304,'Daily Update'!$A:$A,'Daily Update'!$J:$J),""))</f>
        <v/>
      </c>
    </row>
    <row r="305">
      <c r="A305" s="38" t="inlineStr">
        <is>
          <t>NEOS ETF TR NEOS BITCOIN HIGH INCOME ETF</t>
        </is>
      </c>
      <c r="B305" s="38" t="inlineStr">
        <is>
          <t>BTCI</t>
        </is>
      </c>
      <c r="C305" s="7">
        <f>SUM(C306:C315)</f>
        <v/>
      </c>
      <c r="D305" s="38" t="inlineStr">
        <is>
          <t>BTCI</t>
        </is>
      </c>
      <c r="E305" s="38" t="inlineStr">
        <is>
          <t>Brokerage</t>
        </is>
      </c>
      <c r="F305" s="38" t="n"/>
      <c r="G305" s="182" t="n">
        <v>36.16</v>
      </c>
      <c r="H305" s="183" t="n">
        <v>690900</v>
      </c>
      <c r="I305" s="181" t="n">
        <v>0.00249515</v>
      </c>
      <c r="J305" s="181" t="n">
        <v>-0.03676082</v>
      </c>
      <c r="K305" s="181" t="n">
        <v>0.0115185</v>
      </c>
      <c r="L305" s="181" t="n">
        <v>-0.21447848</v>
      </c>
      <c r="M305" s="181" t="n"/>
      <c r="N305" s="181" t="n"/>
    </row>
    <row r="306">
      <c r="A306" t="inlineStr">
        <is>
          <t xml:space="preserve">Northern US Government Select MMkt </t>
        </is>
      </c>
      <c r="B306" t="inlineStr">
        <is>
          <t>NOSXX</t>
        </is>
      </c>
      <c r="C306" s="11" t="n">
        <v>0.0001</v>
      </c>
      <c r="D306" t="inlineStr">
        <is>
          <t>BTCI</t>
        </is>
      </c>
      <c r="E306" t="inlineStr">
        <is>
          <t>Brokerage</t>
        </is>
      </c>
      <c r="G306" s="182" t="n">
        <v>1</v>
      </c>
      <c r="H306" s="183" t="n"/>
      <c r="I306" s="181" t="n"/>
      <c r="J306" s="181" t="n"/>
      <c r="K306" s="181" t="n"/>
      <c r="L306" s="181" t="n"/>
      <c r="M306" s="181" t="n"/>
      <c r="N306" s="181" t="n"/>
    </row>
    <row r="307">
      <c r="A307" t="inlineStr">
        <is>
          <t xml:space="preserve">First American Treasury Obligs X </t>
        </is>
      </c>
      <c r="B307" t="inlineStr">
        <is>
          <t>FXFXX</t>
        </is>
      </c>
      <c r="C307" s="11" t="n">
        <v>0.008699999999999999</v>
      </c>
      <c r="D307" t="inlineStr">
        <is>
          <t>BTCI</t>
        </is>
      </c>
      <c r="E307" t="inlineStr">
        <is>
          <t>Brokerage</t>
        </is>
      </c>
      <c r="G307" s="182" t="n">
        <v>1</v>
      </c>
      <c r="H307" s="183" t="n"/>
      <c r="I307" s="181" t="n"/>
      <c r="J307" s="181" t="n"/>
      <c r="K307" s="181" t="n"/>
      <c r="L307" s="181" t="n"/>
      <c r="M307" s="181" t="n"/>
      <c r="N307" s="181" t="n"/>
    </row>
    <row r="308">
      <c r="A308" t="inlineStr">
        <is>
          <t>CBTX US 05/15/26 C1820</t>
        </is>
      </c>
      <c r="C308" s="11" t="n">
        <v>0.0098</v>
      </c>
      <c r="D308" t="inlineStr">
        <is>
          <t>BTCI</t>
        </is>
      </c>
      <c r="E308" t="inlineStr">
        <is>
          <t>Brokerage</t>
        </is>
      </c>
      <c r="G308" s="182">
        <f>IF($B308="","",IFERROR(XLOOKUP($B308,'Daily Update'!$A:$A,'Daily Update'!$C:$C),""))</f>
        <v/>
      </c>
      <c r="H308" s="183">
        <f>IF($B308="","",IFERROR(XLOOKUP($B308,'Daily Update'!$A:$A,'Daily Update'!$D:$D),""))</f>
        <v/>
      </c>
      <c r="I308" s="181">
        <f>IF($B308="","",IFERROR(XLOOKUP($B308,'Daily Update'!$A:$A,'Daily Update'!$E:$E),""))</f>
        <v/>
      </c>
      <c r="J308" s="181">
        <f>IF($B308="","",IFERROR(XLOOKUP($B308,'Daily Update'!$A:$A,'Daily Update'!$F:$F),""))</f>
        <v/>
      </c>
      <c r="K308" s="181">
        <f>IF($B308="","",IFERROR(XLOOKUP($B308,'Daily Update'!$A:$A,'Daily Update'!$G:$G),""))</f>
        <v/>
      </c>
      <c r="L308" s="181">
        <f>IF($B308="","",IFERROR(XLOOKUP($B308,'Daily Update'!$A:$A,'Daily Update'!$H:$H),""))</f>
        <v/>
      </c>
      <c r="M308" s="181">
        <f>IF($B308="","",IFERROR(XLOOKUP($B308,'Daily Update'!$A:$A,'Daily Update'!$I:$I),""))</f>
        <v/>
      </c>
      <c r="N308" s="181">
        <f>IF($B308="","",IFERROR(XLOOKUP($B308,'Daily Update'!$A:$A,'Daily Update'!$J:$J),""))</f>
        <v/>
      </c>
    </row>
    <row r="309">
      <c r="A309" t="inlineStr">
        <is>
          <t>CBTX US 05/15/26 C1740</t>
        </is>
      </c>
      <c r="C309" s="11" t="n">
        <v>0.0176</v>
      </c>
      <c r="D309" t="inlineStr">
        <is>
          <t>BTCI</t>
        </is>
      </c>
      <c r="E309" t="inlineStr">
        <is>
          <t>Brokerage</t>
        </is>
      </c>
      <c r="G309" s="182">
        <f>IF($B309="","",IFERROR(XLOOKUP($B309,'Daily Update'!$A:$A,'Daily Update'!$C:$C),""))</f>
        <v/>
      </c>
      <c r="H309" s="183">
        <f>IF($B309="","",IFERROR(XLOOKUP($B309,'Daily Update'!$A:$A,'Daily Update'!$D:$D),""))</f>
        <v/>
      </c>
      <c r="I309" s="181">
        <f>IF($B309="","",IFERROR(XLOOKUP($B309,'Daily Update'!$A:$A,'Daily Update'!$E:$E),""))</f>
        <v/>
      </c>
      <c r="J309" s="181">
        <f>IF($B309="","",IFERROR(XLOOKUP($B309,'Daily Update'!$A:$A,'Daily Update'!$F:$F),""))</f>
        <v/>
      </c>
      <c r="K309" s="181">
        <f>IF($B309="","",IFERROR(XLOOKUP($B309,'Daily Update'!$A:$A,'Daily Update'!$G:$G),""))</f>
        <v/>
      </c>
      <c r="L309" s="181">
        <f>IF($B309="","",IFERROR(XLOOKUP($B309,'Daily Update'!$A:$A,'Daily Update'!$H:$H),""))</f>
        <v/>
      </c>
      <c r="M309" s="181">
        <f>IF($B309="","",IFERROR(XLOOKUP($B309,'Daily Update'!$A:$A,'Daily Update'!$I:$I),""))</f>
        <v/>
      </c>
      <c r="N309" s="181">
        <f>IF($B309="","",IFERROR(XLOOKUP($B309,'Daily Update'!$A:$A,'Daily Update'!$J:$J),""))</f>
        <v/>
      </c>
    </row>
    <row r="310">
      <c r="A310" t="inlineStr">
        <is>
          <t>United States Treasury Bills 0%</t>
        </is>
      </c>
      <c r="C310" s="11" t="n">
        <v>0.0208</v>
      </c>
      <c r="D310" t="inlineStr">
        <is>
          <t>BTCI</t>
        </is>
      </c>
      <c r="E310" t="inlineStr">
        <is>
          <t>Brokerage</t>
        </is>
      </c>
      <c r="G310" s="182">
        <f>IF($B310="","",IFERROR(XLOOKUP($B310,'Daily Update'!$A:$A,'Daily Update'!$C:$C),""))</f>
        <v/>
      </c>
      <c r="H310" s="183">
        <f>IF($B310="","",IFERROR(XLOOKUP($B310,'Daily Update'!$A:$A,'Daily Update'!$D:$D),""))</f>
        <v/>
      </c>
      <c r="I310" s="181">
        <f>IF($B310="","",IFERROR(XLOOKUP($B310,'Daily Update'!$A:$A,'Daily Update'!$E:$E),""))</f>
        <v/>
      </c>
      <c r="J310" s="181">
        <f>IF($B310="","",IFERROR(XLOOKUP($B310,'Daily Update'!$A:$A,'Daily Update'!$F:$F),""))</f>
        <v/>
      </c>
      <c r="K310" s="181">
        <f>IF($B310="","",IFERROR(XLOOKUP($B310,'Daily Update'!$A:$A,'Daily Update'!$G:$G),""))</f>
        <v/>
      </c>
      <c r="L310" s="181">
        <f>IF($B310="","",IFERROR(XLOOKUP($B310,'Daily Update'!$A:$A,'Daily Update'!$H:$H),""))</f>
        <v/>
      </c>
      <c r="M310" s="181">
        <f>IF($B310="","",IFERROR(XLOOKUP($B310,'Daily Update'!$A:$A,'Daily Update'!$I:$I),""))</f>
        <v/>
      </c>
      <c r="N310" s="181">
        <f>IF($B310="","",IFERROR(XLOOKUP($B310,'Daily Update'!$A:$A,'Daily Update'!$J:$J),""))</f>
        <v/>
      </c>
    </row>
    <row r="311">
      <c r="A311" t="inlineStr">
        <is>
          <t>CBTX US 07/17/26 P1600</t>
        </is>
      </c>
      <c r="C311" s="11" t="n">
        <v>0.0728</v>
      </c>
      <c r="D311" t="inlineStr">
        <is>
          <t>BTCI</t>
        </is>
      </c>
      <c r="E311" t="inlineStr">
        <is>
          <t>Brokerage</t>
        </is>
      </c>
      <c r="G311" s="182">
        <f>IF($B311="","",IFERROR(XLOOKUP($B311,'Daily Update'!$A:$A,'Daily Update'!$C:$C),""))</f>
        <v/>
      </c>
      <c r="H311" s="183">
        <f>IF($B311="","",IFERROR(XLOOKUP($B311,'Daily Update'!$A:$A,'Daily Update'!$D:$D),""))</f>
        <v/>
      </c>
      <c r="I311" s="181">
        <f>IF($B311="","",IFERROR(XLOOKUP($B311,'Daily Update'!$A:$A,'Daily Update'!$E:$E),""))</f>
        <v/>
      </c>
      <c r="J311" s="181">
        <f>IF($B311="","",IFERROR(XLOOKUP($B311,'Daily Update'!$A:$A,'Daily Update'!$F:$F),""))</f>
        <v/>
      </c>
      <c r="K311" s="181">
        <f>IF($B311="","",IFERROR(XLOOKUP($B311,'Daily Update'!$A:$A,'Daily Update'!$G:$G),""))</f>
        <v/>
      </c>
      <c r="L311" s="181">
        <f>IF($B311="","",IFERROR(XLOOKUP($B311,'Daily Update'!$A:$A,'Daily Update'!$H:$H),""))</f>
        <v/>
      </c>
      <c r="M311" s="181">
        <f>IF($B311="","",IFERROR(XLOOKUP($B311,'Daily Update'!$A:$A,'Daily Update'!$I:$I),""))</f>
        <v/>
      </c>
      <c r="N311" s="181">
        <f>IF($B311="","",IFERROR(XLOOKUP($B311,'Daily Update'!$A:$A,'Daily Update'!$J:$J),""))</f>
        <v/>
      </c>
    </row>
    <row r="312">
      <c r="A312" t="inlineStr">
        <is>
          <t xml:space="preserve">VanEck Bitcoin ETF </t>
        </is>
      </c>
      <c r="B312" t="inlineStr">
        <is>
          <t>HODL</t>
        </is>
      </c>
      <c r="C312" s="11" t="n">
        <v>0.0795</v>
      </c>
      <c r="D312" t="inlineStr">
        <is>
          <t>BTCI</t>
        </is>
      </c>
      <c r="E312" t="inlineStr">
        <is>
          <t>Brokerage</t>
        </is>
      </c>
      <c r="G312" s="182" t="n">
        <v>21.71</v>
      </c>
      <c r="H312" s="183" t="n">
        <v>498200</v>
      </c>
      <c r="I312" s="181" t="n">
        <v>-0.00046042</v>
      </c>
      <c r="J312" s="181" t="n">
        <v>-0.04989065</v>
      </c>
      <c r="K312" s="181" t="n">
        <v>-0.00958034</v>
      </c>
      <c r="L312" s="181" t="n">
        <v>-0.27318385</v>
      </c>
      <c r="M312" s="181" t="n">
        <v>0.1433838</v>
      </c>
      <c r="N312" s="181" t="n"/>
    </row>
    <row r="313">
      <c r="A313" t="inlineStr">
        <is>
          <t xml:space="preserve">iShares Bitcoin Trust ETF </t>
        </is>
      </c>
      <c r="B313" t="inlineStr">
        <is>
          <t>IBIT</t>
        </is>
      </c>
      <c r="C313" s="11" t="n">
        <v>0.115</v>
      </c>
      <c r="D313" t="inlineStr">
        <is>
          <t>BTCI</t>
        </is>
      </c>
      <c r="E313" t="inlineStr">
        <is>
          <t>Brokerage</t>
        </is>
      </c>
      <c r="G313" s="182" t="n">
        <v>43.5</v>
      </c>
      <c r="H313" s="183" t="n">
        <v>25315200</v>
      </c>
      <c r="I313" s="181" t="n">
        <v>-0.00068915</v>
      </c>
      <c r="J313" s="181" t="n">
        <v>-0.05021832</v>
      </c>
      <c r="K313" s="181" t="n">
        <v>-0.01001362</v>
      </c>
      <c r="L313" s="181" t="n">
        <v>-0.27487917</v>
      </c>
      <c r="M313" s="181" t="n">
        <v>0.13636367</v>
      </c>
      <c r="N313" s="181" t="n"/>
    </row>
    <row r="314">
      <c r="A314" t="inlineStr">
        <is>
          <t>CBTX US 07/17/26 C1600</t>
        </is>
      </c>
      <c r="C314" s="11" t="n">
        <v>0.158</v>
      </c>
      <c r="D314" t="inlineStr">
        <is>
          <t>BTCI</t>
        </is>
      </c>
      <c r="E314" t="inlineStr">
        <is>
          <t>Brokerage</t>
        </is>
      </c>
      <c r="G314" s="182">
        <f>IF($B314="","",IFERROR(XLOOKUP($B314,'Daily Update'!$A:$A,'Daily Update'!$C:$C),""))</f>
        <v/>
      </c>
      <c r="H314" s="183">
        <f>IF($B314="","",IFERROR(XLOOKUP($B314,'Daily Update'!$A:$A,'Daily Update'!$D:$D),""))</f>
        <v/>
      </c>
      <c r="I314" s="181">
        <f>IF($B314="","",IFERROR(XLOOKUP($B314,'Daily Update'!$A:$A,'Daily Update'!$E:$E),""))</f>
        <v/>
      </c>
      <c r="J314" s="181">
        <f>IF($B314="","",IFERROR(XLOOKUP($B314,'Daily Update'!$A:$A,'Daily Update'!$F:$F),""))</f>
        <v/>
      </c>
      <c r="K314" s="181">
        <f>IF($B314="","",IFERROR(XLOOKUP($B314,'Daily Update'!$A:$A,'Daily Update'!$G:$G),""))</f>
        <v/>
      </c>
      <c r="L314" s="181">
        <f>IF($B314="","",IFERROR(XLOOKUP($B314,'Daily Update'!$A:$A,'Daily Update'!$H:$H),""))</f>
        <v/>
      </c>
      <c r="M314" s="181">
        <f>IF($B314="","",IFERROR(XLOOKUP($B314,'Daily Update'!$A:$A,'Daily Update'!$I:$I),""))</f>
        <v/>
      </c>
      <c r="N314" s="181">
        <f>IF($B314="","",IFERROR(XLOOKUP($B314,'Daily Update'!$A:$A,'Daily Update'!$J:$J),""))</f>
        <v/>
      </c>
    </row>
    <row r="315">
      <c r="A315" t="inlineStr">
        <is>
          <t>United States Treasury Bills 0%</t>
        </is>
      </c>
      <c r="C315" s="11">
        <f>52.44%-0.0067</f>
        <v/>
      </c>
      <c r="D315" t="inlineStr">
        <is>
          <t>BTCI</t>
        </is>
      </c>
      <c r="E315" t="inlineStr">
        <is>
          <t>Brokerage</t>
        </is>
      </c>
      <c r="G315" s="182">
        <f>IF($B315="","",IFERROR(XLOOKUP($B315,'Daily Update'!$A:$A,'Daily Update'!$C:$C),""))</f>
        <v/>
      </c>
      <c r="H315" s="183">
        <f>IF($B315="","",IFERROR(XLOOKUP($B315,'Daily Update'!$A:$A,'Daily Update'!$D:$D),""))</f>
        <v/>
      </c>
      <c r="I315" s="181">
        <f>IF($B315="","",IFERROR(XLOOKUP($B315,'Daily Update'!$A:$A,'Daily Update'!$E:$E),""))</f>
        <v/>
      </c>
      <c r="J315" s="181">
        <f>IF($B315="","",IFERROR(XLOOKUP($B315,'Daily Update'!$A:$A,'Daily Update'!$F:$F),""))</f>
        <v/>
      </c>
      <c r="K315" s="181">
        <f>IF($B315="","",IFERROR(XLOOKUP($B315,'Daily Update'!$A:$A,'Daily Update'!$G:$G),""))</f>
        <v/>
      </c>
      <c r="L315" s="181">
        <f>IF($B315="","",IFERROR(XLOOKUP($B315,'Daily Update'!$A:$A,'Daily Update'!$H:$H),""))</f>
        <v/>
      </c>
      <c r="M315" s="181">
        <f>IF($B315="","",IFERROR(XLOOKUP($B315,'Daily Update'!$A:$A,'Daily Update'!$I:$I),""))</f>
        <v/>
      </c>
      <c r="N315" s="181">
        <f>IF($B315="","",IFERROR(XLOOKUP($B315,'Daily Update'!$A:$A,'Daily Update'!$J:$J),""))</f>
        <v/>
      </c>
    </row>
    <row r="316">
      <c r="G316" s="182">
        <f>IF($B316="","",IFERROR(XLOOKUP($B316,'Daily Update'!$A:$A,'Daily Update'!$C:$C),""))</f>
        <v/>
      </c>
      <c r="H316" s="183">
        <f>IF($B316="","",IFERROR(XLOOKUP($B316,'Daily Update'!$A:$A,'Daily Update'!$D:$D),""))</f>
        <v/>
      </c>
      <c r="I316" s="181">
        <f>IF($B316="","",IFERROR(XLOOKUP($B316,'Daily Update'!$A:$A,'Daily Update'!$E:$E),""))</f>
        <v/>
      </c>
      <c r="J316" s="181">
        <f>IF($B316="","",IFERROR(XLOOKUP($B316,'Daily Update'!$A:$A,'Daily Update'!$F:$F),""))</f>
        <v/>
      </c>
      <c r="K316" s="181">
        <f>IF($B316="","",IFERROR(XLOOKUP($B316,'Daily Update'!$A:$A,'Daily Update'!$G:$G),""))</f>
        <v/>
      </c>
      <c r="L316" s="181">
        <f>IF($B316="","",IFERROR(XLOOKUP($B316,'Daily Update'!$A:$A,'Daily Update'!$H:$H),""))</f>
        <v/>
      </c>
      <c r="M316" s="181">
        <f>IF($B316="","",IFERROR(XLOOKUP($B316,'Daily Update'!$A:$A,'Daily Update'!$I:$I),""))</f>
        <v/>
      </c>
      <c r="N316" s="181">
        <f>IF($B316="","",IFERROR(XLOOKUP($B316,'Daily Update'!$A:$A,'Daily Update'!$J:$J),""))</f>
        <v/>
      </c>
    </row>
    <row r="317">
      <c r="A317" s="38" t="inlineStr">
        <is>
          <t>GOLDMAN SACHS ETF TR GOLDMAN SACHS NASDAQ 100 PREMIUM INCOME ETF</t>
        </is>
      </c>
      <c r="B317" s="38" t="inlineStr">
        <is>
          <t>GPIQ</t>
        </is>
      </c>
      <c r="C317" s="7">
        <f>SUM(C318:C328)</f>
        <v/>
      </c>
      <c r="D317" s="38" t="inlineStr">
        <is>
          <t>GPIQ</t>
        </is>
      </c>
      <c r="E317" s="9" t="inlineStr">
        <is>
          <t>Brokerage</t>
        </is>
      </c>
      <c r="F317" s="9" t="n"/>
      <c r="G317" s="182" t="n">
        <v>57.04</v>
      </c>
      <c r="H317" s="183" t="n">
        <v>860300</v>
      </c>
      <c r="I317" s="181" t="n">
        <v>-0.00401606</v>
      </c>
      <c r="J317" s="181" t="n">
        <v>-0.00540536</v>
      </c>
      <c r="K317" s="181" t="n">
        <v>0.06580256</v>
      </c>
      <c r="L317" s="181" t="n">
        <v>0.32384052</v>
      </c>
      <c r="M317" s="181" t="n">
        <v>0.518678</v>
      </c>
      <c r="N317" s="181" t="n"/>
    </row>
    <row r="318">
      <c r="A318" t="inlineStr">
        <is>
          <t xml:space="preserve">Walmart Inc </t>
        </is>
      </c>
      <c r="B318" t="inlineStr">
        <is>
          <t>WMT</t>
        </is>
      </c>
      <c r="C318" s="11" t="n">
        <v>0.0319</v>
      </c>
      <c r="D318" t="inlineStr">
        <is>
          <t>GPIQ</t>
        </is>
      </c>
      <c r="E318" s="11" t="inlineStr">
        <is>
          <t>Brokerage</t>
        </is>
      </c>
      <c r="F318" s="11" t="n"/>
      <c r="G318" s="182" t="n">
        <v>134.2</v>
      </c>
      <c r="H318" s="183" t="n">
        <v>16943100</v>
      </c>
      <c r="I318" s="181" t="n">
        <v>0.00644968</v>
      </c>
      <c r="J318" s="181" t="n">
        <v>0.02953579</v>
      </c>
      <c r="K318" s="181" t="n">
        <v>0.05455769</v>
      </c>
      <c r="L318" s="181" t="n">
        <v>0.37914812</v>
      </c>
      <c r="M318" s="181" t="n">
        <v>1.11464279</v>
      </c>
      <c r="N318" s="181" t="n">
        <v>2.01315426</v>
      </c>
    </row>
    <row r="319">
      <c r="A319" t="inlineStr">
        <is>
          <t xml:space="preserve">Meta Platforms Inc Class A </t>
        </is>
      </c>
      <c r="B319" t="inlineStr">
        <is>
          <t>META</t>
        </is>
      </c>
      <c r="C319" s="11" t="n">
        <v>0.0324</v>
      </c>
      <c r="D319" t="inlineStr">
        <is>
          <t>GPIQ</t>
        </is>
      </c>
      <c r="E319" s="11" t="inlineStr">
        <is>
          <t>Brokerage</t>
        </is>
      </c>
      <c r="F319" s="11" t="n"/>
      <c r="G319" s="182" t="n">
        <v>602.61</v>
      </c>
      <c r="H319" s="183" t="n">
        <v>11720900</v>
      </c>
      <c r="I319" s="181" t="n">
        <v>-0.01407051</v>
      </c>
      <c r="J319" s="181" t="n">
        <v>-0.00064679</v>
      </c>
      <c r="K319" s="181" t="n">
        <v>-0.12481302</v>
      </c>
      <c r="L319" s="181" t="n">
        <v>-0.05611858</v>
      </c>
      <c r="M319" s="181" t="n">
        <v>0.28561643</v>
      </c>
      <c r="N319" s="181" t="n">
        <v>0.90621436</v>
      </c>
    </row>
    <row r="320">
      <c r="A320" t="inlineStr">
        <is>
          <t xml:space="preserve">Tesla Inc </t>
        </is>
      </c>
      <c r="B320" t="inlineStr">
        <is>
          <t>TSLA</t>
        </is>
      </c>
      <c r="C320" s="11" t="n">
        <v>0.0342</v>
      </c>
      <c r="D320" t="inlineStr">
        <is>
          <t>GPIQ</t>
        </is>
      </c>
      <c r="E320" s="11" t="inlineStr">
        <is>
          <t>Brokerage</t>
        </is>
      </c>
      <c r="F320" s="11" t="n"/>
      <c r="G320" s="182" t="n">
        <v>404.11</v>
      </c>
      <c r="H320" s="183" t="n">
        <v>46354700</v>
      </c>
      <c r="I320" s="181" t="n">
        <v>-0.01434183</v>
      </c>
      <c r="J320" s="181" t="n">
        <v>-0.06768953</v>
      </c>
      <c r="K320" s="181" t="n">
        <v>0.008711470000000001</v>
      </c>
      <c r="L320" s="181" t="n">
        <v>0.18129729</v>
      </c>
      <c r="M320" s="181" t="n">
        <v>1.27718906</v>
      </c>
      <c r="N320" s="181" t="n">
        <v>1.06607234</v>
      </c>
    </row>
    <row r="321">
      <c r="A321" t="inlineStr">
        <is>
          <t xml:space="preserve">Broadcom Inc </t>
        </is>
      </c>
      <c r="B321" t="inlineStr">
        <is>
          <t>AVGO</t>
        </is>
      </c>
      <c r="C321" s="11" t="n">
        <v>0.0355</v>
      </c>
      <c r="D321" t="inlineStr">
        <is>
          <t>GPIQ</t>
        </is>
      </c>
      <c r="E321" s="11" t="inlineStr">
        <is>
          <t>Brokerage</t>
        </is>
      </c>
      <c r="F321" s="11" t="n"/>
      <c r="G321" s="182" t="n">
        <v>411.07</v>
      </c>
      <c r="H321" s="183" t="n">
        <v>20620900</v>
      </c>
      <c r="I321" s="181" t="n">
        <v>-0.02291361</v>
      </c>
      <c r="J321" s="181" t="n">
        <v>-0.01962791</v>
      </c>
      <c r="K321" s="181" t="n">
        <v>0.01114281</v>
      </c>
      <c r="L321" s="181" t="n">
        <v>0.7968204800000001</v>
      </c>
      <c r="M321" s="181" t="n">
        <v>2.00630568</v>
      </c>
      <c r="N321" s="181" t="n">
        <v>8.985732649999999</v>
      </c>
    </row>
    <row r="322">
      <c r="A322" t="inlineStr">
        <is>
          <t xml:space="preserve">Alphabet Inc Class C </t>
        </is>
      </c>
      <c r="B322" t="inlineStr">
        <is>
          <t>GOOG</t>
        </is>
      </c>
      <c r="C322" s="11" t="n">
        <v>0.0367</v>
      </c>
      <c r="D322" t="inlineStr">
        <is>
          <t>GPIQ</t>
        </is>
      </c>
      <c r="E322" s="11" t="inlineStr">
        <is>
          <t>Brokerage</t>
        </is>
      </c>
      <c r="F322" s="11" t="n"/>
      <c r="G322" s="182" t="n">
        <v>384.9</v>
      </c>
      <c r="H322" s="183" t="n">
        <v>25497700</v>
      </c>
      <c r="I322" s="181" t="n">
        <v>-0.02088472</v>
      </c>
      <c r="J322" s="181" t="n">
        <v>0.00281378</v>
      </c>
      <c r="K322" s="181" t="n">
        <v>0.13406011</v>
      </c>
      <c r="L322" s="181" t="n">
        <v>1.30077221</v>
      </c>
      <c r="M322" s="181" t="n">
        <v>1.18884331</v>
      </c>
      <c r="N322" s="181" t="n">
        <v>2.2941019</v>
      </c>
    </row>
    <row r="323">
      <c r="A323" t="inlineStr">
        <is>
          <t xml:space="preserve">Alphabet Inc Class A </t>
        </is>
      </c>
      <c r="B323" t="inlineStr">
        <is>
          <t>GOOGL</t>
        </is>
      </c>
      <c r="C323" s="11" t="n">
        <v>0.0408</v>
      </c>
      <c r="D323" t="inlineStr">
        <is>
          <t>GPIQ</t>
        </is>
      </c>
      <c r="E323" s="11" t="inlineStr">
        <is>
          <t>Brokerage</t>
        </is>
      </c>
      <c r="F323" s="11" t="n"/>
      <c r="G323" s="182" t="n">
        <v>387.66</v>
      </c>
      <c r="H323" s="183" t="n">
        <v>39458400</v>
      </c>
      <c r="I323" s="181" t="n">
        <v>-0.02337884</v>
      </c>
      <c r="J323" s="181" t="n">
        <v>0.0008003</v>
      </c>
      <c r="K323" s="181" t="n">
        <v>0.13457039</v>
      </c>
      <c r="L323" s="181" t="n">
        <v>1.33580064</v>
      </c>
      <c r="M323" s="181" t="n">
        <v>1.22006163</v>
      </c>
      <c r="N323" s="181" t="n">
        <v>2.38857827</v>
      </c>
    </row>
    <row r="324">
      <c r="A324" t="inlineStr">
        <is>
          <t xml:space="preserve">Amazon.com Inc </t>
        </is>
      </c>
      <c r="B324" t="inlineStr">
        <is>
          <t>AMZN</t>
        </is>
      </c>
      <c r="C324" s="11" t="n">
        <v>0.0512</v>
      </c>
      <c r="D324" t="inlineStr">
        <is>
          <t>GPIQ</t>
        </is>
      </c>
      <c r="E324" s="11" t="inlineStr">
        <is>
          <t>Brokerage</t>
        </is>
      </c>
      <c r="F324" s="11" t="n"/>
      <c r="G324" s="182" t="n">
        <v>259.34</v>
      </c>
      <c r="H324" s="183" t="n">
        <v>40269100</v>
      </c>
      <c r="I324" s="181" t="n">
        <v>-0.02084116</v>
      </c>
      <c r="J324" s="181" t="n">
        <v>-0.02437744</v>
      </c>
      <c r="K324" s="181" t="n">
        <v>0.0350415</v>
      </c>
      <c r="L324" s="181" t="n">
        <v>0.25795495</v>
      </c>
      <c r="M324" s="181" t="n">
        <v>0.40411478</v>
      </c>
      <c r="N324" s="181" t="n">
        <v>0.59707848</v>
      </c>
    </row>
    <row r="325">
      <c r="A325" t="inlineStr">
        <is>
          <t xml:space="preserve">Microsoft Corp </t>
        </is>
      </c>
      <c r="B325" t="inlineStr">
        <is>
          <t>MSFT</t>
        </is>
      </c>
      <c r="C325" s="11" t="n">
        <v>0.0543</v>
      </c>
      <c r="D325" t="inlineStr">
        <is>
          <t>GPIQ</t>
        </is>
      </c>
      <c r="E325" s="11" t="inlineStr">
        <is>
          <t>Brokerage</t>
        </is>
      </c>
      <c r="F325" s="11" t="n"/>
      <c r="G325" s="182" t="n">
        <v>417.42</v>
      </c>
      <c r="H325" s="183" t="n">
        <v>32942800</v>
      </c>
      <c r="I325" s="181" t="n">
        <v>-0.01444963</v>
      </c>
      <c r="J325" s="181" t="n">
        <v>0.02366536</v>
      </c>
      <c r="K325" s="181" t="n">
        <v>-0.01270133</v>
      </c>
      <c r="L325" s="181" t="n">
        <v>-0.08504617</v>
      </c>
      <c r="M325" s="181" t="n">
        <v>0.00679123</v>
      </c>
      <c r="N325" s="181" t="n">
        <v>0.76083236</v>
      </c>
    </row>
    <row r="326">
      <c r="A326" t="inlineStr">
        <is>
          <t xml:space="preserve">Apple Inc </t>
        </is>
      </c>
      <c r="B326" t="inlineStr">
        <is>
          <t>AAPL</t>
        </is>
      </c>
      <c r="C326" s="11" t="n">
        <v>0.07149999999999999</v>
      </c>
      <c r="D326" t="inlineStr">
        <is>
          <t>GPIQ</t>
        </is>
      </c>
      <c r="E326" s="11" t="inlineStr">
        <is>
          <t>Brokerage</t>
        </is>
      </c>
      <c r="F326" s="11" t="n"/>
      <c r="G326" s="182" t="n">
        <v>298.97</v>
      </c>
      <c r="H326" s="183" t="n">
        <v>42199700</v>
      </c>
      <c r="I326" s="181" t="n">
        <v>0.003794</v>
      </c>
      <c r="J326" s="181" t="n">
        <v>0.01414523</v>
      </c>
      <c r="K326" s="181" t="n">
        <v>0.10737315</v>
      </c>
      <c r="L326" s="181" t="n">
        <v>0.43766669</v>
      </c>
      <c r="M326" s="181" t="n">
        <v>0.5882436599999999</v>
      </c>
      <c r="N326" s="181" t="n">
        <v>1.40918958</v>
      </c>
    </row>
    <row r="327">
      <c r="A327" t="inlineStr">
        <is>
          <t xml:space="preserve">NVIDIA Corp </t>
        </is>
      </c>
      <c r="B327" t="inlineStr">
        <is>
          <t>NVDA</t>
        </is>
      </c>
      <c r="C327" s="11" t="n">
        <v>0.0871</v>
      </c>
      <c r="D327" t="inlineStr">
        <is>
          <t>GPIQ</t>
        </is>
      </c>
      <c r="E327" s="11" t="inlineStr">
        <is>
          <t>Brokerage</t>
        </is>
      </c>
      <c r="F327" s="11" t="n"/>
      <c r="G327" s="182" t="n">
        <v>220.61</v>
      </c>
      <c r="H327" s="183" t="n">
        <v>140201600</v>
      </c>
      <c r="I327" s="181" t="n">
        <v>-0.00769165</v>
      </c>
      <c r="J327" s="181" t="n">
        <v>-0.00076999</v>
      </c>
      <c r="K327" s="181" t="n">
        <v>0.09386161</v>
      </c>
      <c r="L327" s="181" t="n">
        <v>0.62766095</v>
      </c>
      <c r="M327" s="181" t="n">
        <v>1.38686075</v>
      </c>
      <c r="N327" s="181" t="n">
        <v>14.1353981</v>
      </c>
    </row>
    <row r="328">
      <c r="A328" t="inlineStr">
        <is>
          <t>Other</t>
        </is>
      </c>
      <c r="B328" t="inlineStr">
        <is>
          <t>OTH</t>
        </is>
      </c>
      <c r="C328" s="4">
        <f>100%-(SUM(C318:C327))</f>
        <v/>
      </c>
      <c r="D328" t="inlineStr">
        <is>
          <t>GPIQ</t>
        </is>
      </c>
      <c r="E328" s="11" t="inlineStr">
        <is>
          <t>Brokerage</t>
        </is>
      </c>
      <c r="F328" s="11" t="n"/>
      <c r="G328" s="182">
        <f>IF($B328="","",IFERROR(XLOOKUP($B328,'Daily Update'!$A:$A,'Daily Update'!$C:$C),""))</f>
        <v/>
      </c>
      <c r="H328" s="183">
        <f>IF($B328="","",IFERROR(XLOOKUP($B328,'Daily Update'!$A:$A,'Daily Update'!$D:$D),""))</f>
        <v/>
      </c>
      <c r="I328" s="181">
        <f>IF($B328="","",IFERROR(XLOOKUP($B328,'Daily Update'!$A:$A,'Daily Update'!$E:$E),""))</f>
        <v/>
      </c>
      <c r="J328" s="181">
        <f>IF($B328="","",IFERROR(XLOOKUP($B328,'Daily Update'!$A:$A,'Daily Update'!$F:$F),""))</f>
        <v/>
      </c>
      <c r="K328" s="181">
        <f>IF($B328="","",IFERROR(XLOOKUP($B328,'Daily Update'!$A:$A,'Daily Update'!$G:$G),""))</f>
        <v/>
      </c>
      <c r="L328" s="181">
        <f>IF($B328="","",IFERROR(XLOOKUP($B328,'Daily Update'!$A:$A,'Daily Update'!$H:$H),""))</f>
        <v/>
      </c>
      <c r="M328" s="181">
        <f>IF($B328="","",IFERROR(XLOOKUP($B328,'Daily Update'!$A:$A,'Daily Update'!$I:$I),""))</f>
        <v/>
      </c>
      <c r="N328" s="181">
        <f>IF($B328="","",IFERROR(XLOOKUP($B328,'Daily Update'!$A:$A,'Daily Update'!$J:$J),""))</f>
        <v/>
      </c>
    </row>
    <row r="329">
      <c r="G329" s="182">
        <f>IF($B329="","",IFERROR(XLOOKUP($B329,'Daily Update'!$A:$A,'Daily Update'!$C:$C),""))</f>
        <v/>
      </c>
      <c r="H329" s="183">
        <f>IF($B329="","",IFERROR(XLOOKUP($B329,'Daily Update'!$A:$A,'Daily Update'!$D:$D),""))</f>
        <v/>
      </c>
      <c r="I329" s="181">
        <f>IF($B329="","",IFERROR(XLOOKUP($B329,'Daily Update'!$A:$A,'Daily Update'!$E:$E),""))</f>
        <v/>
      </c>
      <c r="J329" s="181">
        <f>IF($B329="","",IFERROR(XLOOKUP($B329,'Daily Update'!$A:$A,'Daily Update'!$F:$F),""))</f>
        <v/>
      </c>
      <c r="K329" s="181">
        <f>IF($B329="","",IFERROR(XLOOKUP($B329,'Daily Update'!$A:$A,'Daily Update'!$G:$G),""))</f>
        <v/>
      </c>
      <c r="L329" s="181">
        <f>IF($B329="","",IFERROR(XLOOKUP($B329,'Daily Update'!$A:$A,'Daily Update'!$H:$H),""))</f>
        <v/>
      </c>
      <c r="M329" s="181">
        <f>IF($B329="","",IFERROR(XLOOKUP($B329,'Daily Update'!$A:$A,'Daily Update'!$I:$I),""))</f>
        <v/>
      </c>
      <c r="N329" s="181">
        <f>IF($B329="","",IFERROR(XLOOKUP($B329,'Daily Update'!$A:$A,'Daily Update'!$J:$J),""))</f>
        <v/>
      </c>
    </row>
    <row r="330">
      <c r="A330" s="38" t="inlineStr">
        <is>
          <t>NEOS ETF TR NEOS GOLD HIGH INCOME ETF</t>
        </is>
      </c>
      <c r="B330" s="38" t="inlineStr">
        <is>
          <t>IAUI</t>
        </is>
      </c>
      <c r="C330" s="7">
        <f>SUM(C331:C339)</f>
        <v/>
      </c>
      <c r="D330" s="38" t="inlineStr">
        <is>
          <t>IAUI</t>
        </is>
      </c>
      <c r="E330" s="11" t="inlineStr">
        <is>
          <t>Brokerage</t>
        </is>
      </c>
      <c r="F330" s="11" t="n"/>
      <c r="G330" s="182" t="n">
        <v>54.83</v>
      </c>
      <c r="H330" s="183" t="n">
        <v>252300</v>
      </c>
      <c r="I330" s="181" t="n">
        <v>-0.0133165</v>
      </c>
      <c r="J330" s="181" t="n">
        <v>-0.04109826</v>
      </c>
      <c r="K330" s="181" t="n">
        <v>-0.06359982</v>
      </c>
      <c r="L330" s="181" t="n"/>
      <c r="M330" s="181" t="n"/>
      <c r="N330" s="181" t="n"/>
    </row>
    <row r="331">
      <c r="A331" t="inlineStr">
        <is>
          <t xml:space="preserve">Northern US Government Select MMkt </t>
        </is>
      </c>
      <c r="B331" t="inlineStr">
        <is>
          <t>NOSXX</t>
        </is>
      </c>
      <c r="C331" s="11" t="n">
        <v>0</v>
      </c>
      <c r="D331" t="inlineStr">
        <is>
          <t>IAUI</t>
        </is>
      </c>
      <c r="E331" s="11" t="inlineStr">
        <is>
          <t>Brokerage</t>
        </is>
      </c>
      <c r="F331" s="11" t="n"/>
      <c r="G331" s="182" t="n">
        <v>1</v>
      </c>
      <c r="H331" s="183" t="n"/>
      <c r="I331" s="181" t="n"/>
      <c r="J331" s="181" t="n"/>
      <c r="K331" s="181" t="n"/>
      <c r="L331" s="181" t="n"/>
      <c r="M331" s="181" t="n"/>
      <c r="N331" s="181" t="n"/>
    </row>
    <row r="332">
      <c r="A332" t="inlineStr">
        <is>
          <t>Gld 05/15/2026 460 C</t>
        </is>
      </c>
      <c r="C332" s="11" t="n">
        <v>0.0039</v>
      </c>
      <c r="D332" t="inlineStr">
        <is>
          <t>IAUI</t>
        </is>
      </c>
      <c r="E332" s="11" t="inlineStr">
        <is>
          <t>Brokerage</t>
        </is>
      </c>
      <c r="F332" s="11" t="n"/>
      <c r="G332" s="182">
        <f>IF($B332="","",IFERROR(XLOOKUP($B332,'Daily Update'!$A:$A,'Daily Update'!$C:$C),""))</f>
        <v/>
      </c>
      <c r="H332" s="183">
        <f>IF($B332="","",IFERROR(XLOOKUP($B332,'Daily Update'!$A:$A,'Daily Update'!$D:$D),""))</f>
        <v/>
      </c>
      <c r="I332" s="181">
        <f>IF($B332="","",IFERROR(XLOOKUP($B332,'Daily Update'!$A:$A,'Daily Update'!$E:$E),""))</f>
        <v/>
      </c>
      <c r="J332" s="181">
        <f>IF($B332="","",IFERROR(XLOOKUP($B332,'Daily Update'!$A:$A,'Daily Update'!$F:$F),""))</f>
        <v/>
      </c>
      <c r="K332" s="181">
        <f>IF($B332="","",IFERROR(XLOOKUP($B332,'Daily Update'!$A:$A,'Daily Update'!$G:$G),""))</f>
        <v/>
      </c>
      <c r="L332" s="181">
        <f>IF($B332="","",IFERROR(XLOOKUP($B332,'Daily Update'!$A:$A,'Daily Update'!$H:$H),""))</f>
        <v/>
      </c>
      <c r="M332" s="181">
        <f>IF($B332="","",IFERROR(XLOOKUP($B332,'Daily Update'!$A:$A,'Daily Update'!$I:$I),""))</f>
        <v/>
      </c>
      <c r="N332" s="181">
        <f>IF($B332="","",IFERROR(XLOOKUP($B332,'Daily Update'!$A:$A,'Daily Update'!$J:$J),""))</f>
        <v/>
      </c>
    </row>
    <row r="333">
      <c r="A333" t="inlineStr">
        <is>
          <t>Gld 05/15/2026 445 C</t>
        </is>
      </c>
      <c r="C333" s="11" t="n">
        <v>0.0062</v>
      </c>
      <c r="D333" t="inlineStr">
        <is>
          <t>IAUI</t>
        </is>
      </c>
      <c r="E333" s="11" t="inlineStr">
        <is>
          <t>Brokerage</t>
        </is>
      </c>
      <c r="F333" s="11" t="n"/>
      <c r="G333" s="182">
        <f>IF($B333="","",IFERROR(XLOOKUP($B333,'Daily Update'!$A:$A,'Daily Update'!$C:$C),""))</f>
        <v/>
      </c>
      <c r="H333" s="183">
        <f>IF($B333="","",IFERROR(XLOOKUP($B333,'Daily Update'!$A:$A,'Daily Update'!$D:$D),""))</f>
        <v/>
      </c>
      <c r="I333" s="181">
        <f>IF($B333="","",IFERROR(XLOOKUP($B333,'Daily Update'!$A:$A,'Daily Update'!$E:$E),""))</f>
        <v/>
      </c>
      <c r="J333" s="181">
        <f>IF($B333="","",IFERROR(XLOOKUP($B333,'Daily Update'!$A:$A,'Daily Update'!$F:$F),""))</f>
        <v/>
      </c>
      <c r="K333" s="181">
        <f>IF($B333="","",IFERROR(XLOOKUP($B333,'Daily Update'!$A:$A,'Daily Update'!$G:$G),""))</f>
        <v/>
      </c>
      <c r="L333" s="181">
        <f>IF($B333="","",IFERROR(XLOOKUP($B333,'Daily Update'!$A:$A,'Daily Update'!$H:$H),""))</f>
        <v/>
      </c>
      <c r="M333" s="181">
        <f>IF($B333="","",IFERROR(XLOOKUP($B333,'Daily Update'!$A:$A,'Daily Update'!$I:$I),""))</f>
        <v/>
      </c>
      <c r="N333" s="181">
        <f>IF($B333="","",IFERROR(XLOOKUP($B333,'Daily Update'!$A:$A,'Daily Update'!$J:$J),""))</f>
        <v/>
      </c>
    </row>
    <row r="334">
      <c r="A334" t="inlineStr">
        <is>
          <t xml:space="preserve">First American Treasury Obligs X </t>
        </is>
      </c>
      <c r="B334" t="inlineStr">
        <is>
          <t>FXFXX</t>
        </is>
      </c>
      <c r="C334" s="11" t="n">
        <v>0.0124</v>
      </c>
      <c r="D334" t="inlineStr">
        <is>
          <t>IAUI</t>
        </is>
      </c>
      <c r="E334" s="11" t="inlineStr">
        <is>
          <t>Brokerage</t>
        </is>
      </c>
      <c r="F334" s="11" t="n"/>
      <c r="G334" s="182" t="n">
        <v>1</v>
      </c>
      <c r="H334" s="183" t="n"/>
      <c r="I334" s="181" t="n"/>
      <c r="J334" s="181" t="n"/>
      <c r="K334" s="181" t="n"/>
      <c r="L334" s="181" t="n"/>
      <c r="M334" s="181" t="n"/>
      <c r="N334" s="181" t="n"/>
    </row>
    <row r="335">
      <c r="A335" t="inlineStr">
        <is>
          <t>Gld 07/17/2026 425 P</t>
        </is>
      </c>
      <c r="C335" s="11" t="n">
        <v>0.0572</v>
      </c>
      <c r="D335" t="inlineStr">
        <is>
          <t>IAUI</t>
        </is>
      </c>
      <c r="E335" s="11" t="inlineStr">
        <is>
          <t>Brokerage</t>
        </is>
      </c>
      <c r="F335" s="11" t="n"/>
      <c r="G335" s="182">
        <f>IF($B335="","",IFERROR(XLOOKUP($B335,'Daily Update'!$A:$A,'Daily Update'!$C:$C),""))</f>
        <v/>
      </c>
      <c r="H335" s="183">
        <f>IF($B335="","",IFERROR(XLOOKUP($B335,'Daily Update'!$A:$A,'Daily Update'!$D:$D),""))</f>
        <v/>
      </c>
      <c r="I335" s="181">
        <f>IF($B335="","",IFERROR(XLOOKUP($B335,'Daily Update'!$A:$A,'Daily Update'!$E:$E),""))</f>
        <v/>
      </c>
      <c r="J335" s="181">
        <f>IF($B335="","",IFERROR(XLOOKUP($B335,'Daily Update'!$A:$A,'Daily Update'!$F:$F),""))</f>
        <v/>
      </c>
      <c r="K335" s="181">
        <f>IF($B335="","",IFERROR(XLOOKUP($B335,'Daily Update'!$A:$A,'Daily Update'!$G:$G),""))</f>
        <v/>
      </c>
      <c r="L335" s="181">
        <f>IF($B335="","",IFERROR(XLOOKUP($B335,'Daily Update'!$A:$A,'Daily Update'!$H:$H),""))</f>
        <v/>
      </c>
      <c r="M335" s="181">
        <f>IF($B335="","",IFERROR(XLOOKUP($B335,'Daily Update'!$A:$A,'Daily Update'!$I:$I),""))</f>
        <v/>
      </c>
      <c r="N335" s="181">
        <f>IF($B335="","",IFERROR(XLOOKUP($B335,'Daily Update'!$A:$A,'Daily Update'!$J:$J),""))</f>
        <v/>
      </c>
    </row>
    <row r="336">
      <c r="A336" t="inlineStr">
        <is>
          <t>Gld 07/17/2026 425 C</t>
        </is>
      </c>
      <c r="C336" s="11" t="n">
        <v>0.0761</v>
      </c>
      <c r="D336" t="inlineStr">
        <is>
          <t>IAUI</t>
        </is>
      </c>
      <c r="E336" s="11" t="inlineStr">
        <is>
          <t>Brokerage</t>
        </is>
      </c>
      <c r="F336" s="11" t="n"/>
      <c r="G336" s="182">
        <f>IF($B336="","",IFERROR(XLOOKUP($B336,'Daily Update'!$A:$A,'Daily Update'!$C:$C),""))</f>
        <v/>
      </c>
      <c r="H336" s="183">
        <f>IF($B336="","",IFERROR(XLOOKUP($B336,'Daily Update'!$A:$A,'Daily Update'!$D:$D),""))</f>
        <v/>
      </c>
      <c r="I336" s="181">
        <f>IF($B336="","",IFERROR(XLOOKUP($B336,'Daily Update'!$A:$A,'Daily Update'!$E:$E),""))</f>
        <v/>
      </c>
      <c r="J336" s="181">
        <f>IF($B336="","",IFERROR(XLOOKUP($B336,'Daily Update'!$A:$A,'Daily Update'!$F:$F),""))</f>
        <v/>
      </c>
      <c r="K336" s="181">
        <f>IF($B336="","",IFERROR(XLOOKUP($B336,'Daily Update'!$A:$A,'Daily Update'!$G:$G),""))</f>
        <v/>
      </c>
      <c r="L336" s="181">
        <f>IF($B336="","",IFERROR(XLOOKUP($B336,'Daily Update'!$A:$A,'Daily Update'!$H:$H),""))</f>
        <v/>
      </c>
      <c r="M336" s="181">
        <f>IF($B336="","",IFERROR(XLOOKUP($B336,'Daily Update'!$A:$A,'Daily Update'!$I:$I),""))</f>
        <v/>
      </c>
      <c r="N336" s="181">
        <f>IF($B336="","",IFERROR(XLOOKUP($B336,'Daily Update'!$A:$A,'Daily Update'!$J:$J),""))</f>
        <v/>
      </c>
    </row>
    <row r="337">
      <c r="A337" t="inlineStr">
        <is>
          <t xml:space="preserve">Goldman Sachs Physical Gold ETF </t>
        </is>
      </c>
      <c r="B337" t="inlineStr">
        <is>
          <t>AAAU</t>
        </is>
      </c>
      <c r="C337" s="11" t="n">
        <v>0.1947</v>
      </c>
      <c r="D337" t="inlineStr">
        <is>
          <t>IAUI</t>
        </is>
      </c>
      <c r="E337" s="11" t="inlineStr">
        <is>
          <t>Brokerage</t>
        </is>
      </c>
      <c r="F337" s="11" t="n"/>
      <c r="G337" s="182" t="n">
        <v>44.2</v>
      </c>
      <c r="H337" s="183" t="n">
        <v>1651800</v>
      </c>
      <c r="I337" s="181" t="n">
        <v>-0.01646635</v>
      </c>
      <c r="J337" s="181" t="n">
        <v>-0.04946235</v>
      </c>
      <c r="K337" s="181" t="n">
        <v>-0.07705155</v>
      </c>
      <c r="L337" s="181" t="n">
        <v>0.38341157</v>
      </c>
      <c r="M337" s="181" t="n">
        <v>0.84782611</v>
      </c>
      <c r="N337" s="181" t="n">
        <v>1.36490099</v>
      </c>
    </row>
    <row r="338">
      <c r="A338" t="inlineStr">
        <is>
          <t>United States Treasury Bills 0%</t>
        </is>
      </c>
      <c r="C338" s="11" t="n">
        <v>0.596</v>
      </c>
      <c r="D338" t="inlineStr">
        <is>
          <t>IAUI</t>
        </is>
      </c>
      <c r="E338" s="11" t="inlineStr">
        <is>
          <t>Brokerage</t>
        </is>
      </c>
      <c r="F338" s="11" t="n"/>
      <c r="G338" s="182">
        <f>IF($B338="","",IFERROR(XLOOKUP($B338,'Daily Update'!$A:$A,'Daily Update'!$C:$C),""))</f>
        <v/>
      </c>
      <c r="H338" s="183">
        <f>IF($B338="","",IFERROR(XLOOKUP($B338,'Daily Update'!$A:$A,'Daily Update'!$D:$D),""))</f>
        <v/>
      </c>
      <c r="I338" s="181">
        <f>IF($B338="","",IFERROR(XLOOKUP($B338,'Daily Update'!$A:$A,'Daily Update'!$E:$E),""))</f>
        <v/>
      </c>
      <c r="J338" s="181">
        <f>IF($B338="","",IFERROR(XLOOKUP($B338,'Daily Update'!$A:$A,'Daily Update'!$F:$F),""))</f>
        <v/>
      </c>
      <c r="K338" s="181">
        <f>IF($B338="","",IFERROR(XLOOKUP($B338,'Daily Update'!$A:$A,'Daily Update'!$G:$G),""))</f>
        <v/>
      </c>
      <c r="L338" s="181">
        <f>IF($B338="","",IFERROR(XLOOKUP($B338,'Daily Update'!$A:$A,'Daily Update'!$H:$H),""))</f>
        <v/>
      </c>
      <c r="M338" s="181">
        <f>IF($B338="","",IFERROR(XLOOKUP($B338,'Daily Update'!$A:$A,'Daily Update'!$I:$I),""))</f>
        <v/>
      </c>
      <c r="N338" s="181">
        <f>IF($B338="","",IFERROR(XLOOKUP($B338,'Daily Update'!$A:$A,'Daily Update'!$J:$J),""))</f>
        <v/>
      </c>
    </row>
    <row r="339">
      <c r="A339" t="inlineStr">
        <is>
          <t>Other</t>
        </is>
      </c>
      <c r="B339" t="inlineStr">
        <is>
          <t>OTH</t>
        </is>
      </c>
      <c r="C339" s="4">
        <f>100%-(SUM(C331:C338))</f>
        <v/>
      </c>
      <c r="D339" t="inlineStr">
        <is>
          <t>GPIQ</t>
        </is>
      </c>
      <c r="E339" s="11" t="inlineStr">
        <is>
          <t>Brokerage</t>
        </is>
      </c>
      <c r="F339" s="11" t="n"/>
      <c r="G339" s="182">
        <f>IF($B339="","",IFERROR(XLOOKUP($B339,'Daily Update'!$A:$A,'Daily Update'!$C:$C),""))</f>
        <v/>
      </c>
      <c r="H339" s="183">
        <f>IF($B339="","",IFERROR(XLOOKUP($B339,'Daily Update'!$A:$A,'Daily Update'!$D:$D),""))</f>
        <v/>
      </c>
      <c r="I339" s="181">
        <f>IF($B339="","",IFERROR(XLOOKUP($B339,'Daily Update'!$A:$A,'Daily Update'!$E:$E),""))</f>
        <v/>
      </c>
      <c r="J339" s="181">
        <f>IF($B339="","",IFERROR(XLOOKUP($B339,'Daily Update'!$A:$A,'Daily Update'!$F:$F),""))</f>
        <v/>
      </c>
      <c r="K339" s="181">
        <f>IF($B339="","",IFERROR(XLOOKUP($B339,'Daily Update'!$A:$A,'Daily Update'!$G:$G),""))</f>
        <v/>
      </c>
      <c r="L339" s="181">
        <f>IF($B339="","",IFERROR(XLOOKUP($B339,'Daily Update'!$A:$A,'Daily Update'!$H:$H),""))</f>
        <v/>
      </c>
      <c r="M339" s="181">
        <f>IF($B339="","",IFERROR(XLOOKUP($B339,'Daily Update'!$A:$A,'Daily Update'!$I:$I),""))</f>
        <v/>
      </c>
      <c r="N339" s="181">
        <f>IF($B339="","",IFERROR(XLOOKUP($B339,'Daily Update'!$A:$A,'Daily Update'!$J:$J),""))</f>
        <v/>
      </c>
    </row>
    <row r="340">
      <c r="G340" s="182">
        <f>IF($B340="","",IFERROR(XLOOKUP($B340,'Daily Update'!$A:$A,'Daily Update'!$C:$C),""))</f>
        <v/>
      </c>
      <c r="H340" s="183">
        <f>IF($B340="","",IFERROR(XLOOKUP($B340,'Daily Update'!$A:$A,'Daily Update'!$D:$D),""))</f>
        <v/>
      </c>
      <c r="I340" s="181">
        <f>IF($B340="","",IFERROR(XLOOKUP($B340,'Daily Update'!$A:$A,'Daily Update'!$E:$E),""))</f>
        <v/>
      </c>
      <c r="J340" s="181">
        <f>IF($B340="","",IFERROR(XLOOKUP($B340,'Daily Update'!$A:$A,'Daily Update'!$F:$F),""))</f>
        <v/>
      </c>
      <c r="K340" s="181">
        <f>IF($B340="","",IFERROR(XLOOKUP($B340,'Daily Update'!$A:$A,'Daily Update'!$G:$G),""))</f>
        <v/>
      </c>
      <c r="L340" s="181">
        <f>IF($B340="","",IFERROR(XLOOKUP($B340,'Daily Update'!$A:$A,'Daily Update'!$H:$H),""))</f>
        <v/>
      </c>
      <c r="M340" s="181">
        <f>IF($B340="","",IFERROR(XLOOKUP($B340,'Daily Update'!$A:$A,'Daily Update'!$I:$I),""))</f>
        <v/>
      </c>
      <c r="N340" s="181">
        <f>IF($B340="","",IFERROR(XLOOKUP($B340,'Daily Update'!$A:$A,'Daily Update'!$J:$J),""))</f>
        <v/>
      </c>
    </row>
    <row r="341">
      <c r="A341" s="38" t="inlineStr">
        <is>
          <t>NEOS ETF TR NEOS RUSSELL 2000 HIGH INCOME ETF</t>
        </is>
      </c>
      <c r="B341" s="8" t="inlineStr">
        <is>
          <t>IWMI</t>
        </is>
      </c>
      <c r="C341" s="7">
        <f>SUM(C342:C343)</f>
        <v/>
      </c>
      <c r="D341" s="8" t="inlineStr">
        <is>
          <t>IWMI</t>
        </is>
      </c>
      <c r="E341" s="38" t="inlineStr">
        <is>
          <t>IRA</t>
        </is>
      </c>
      <c r="F341" s="38" t="n"/>
      <c r="G341" s="182" t="n">
        <v>50.4</v>
      </c>
      <c r="H341" s="183" t="n">
        <v>338400</v>
      </c>
      <c r="I341" s="181" t="n">
        <v>-0.00923919</v>
      </c>
      <c r="J341" s="181" t="n">
        <v>-0.02740251</v>
      </c>
      <c r="K341" s="181" t="n">
        <v>-0.00467414</v>
      </c>
      <c r="L341" s="181" t="n">
        <v>0.29223417</v>
      </c>
      <c r="M341" s="181" t="n"/>
      <c r="N341" s="181" t="n"/>
    </row>
    <row r="342">
      <c r="A342" t="inlineStr">
        <is>
          <t xml:space="preserve">First American Treasury Obligs X </t>
        </is>
      </c>
      <c r="B342" t="inlineStr">
        <is>
          <t>FXFXX</t>
        </is>
      </c>
      <c r="C342" s="4" t="n">
        <v>0.004492527734482442</v>
      </c>
      <c r="D342" s="2" t="inlineStr">
        <is>
          <t>IWMI</t>
        </is>
      </c>
      <c r="E342" s="11" t="inlineStr">
        <is>
          <t>Brokerage</t>
        </is>
      </c>
      <c r="F342" s="11" t="n"/>
      <c r="G342" s="182" t="n">
        <v>1</v>
      </c>
      <c r="H342" s="183" t="n"/>
      <c r="I342" s="181" t="n"/>
      <c r="J342" s="181" t="n"/>
      <c r="K342" s="181" t="n"/>
      <c r="L342" s="181" t="n"/>
      <c r="M342" s="181" t="n"/>
      <c r="N342" s="181" t="n"/>
    </row>
    <row r="343">
      <c r="A343" t="inlineStr">
        <is>
          <t xml:space="preserve">Vanguard Russell 2000 ETF </t>
        </is>
      </c>
      <c r="B343" t="inlineStr">
        <is>
          <t>VTWO</t>
        </is>
      </c>
      <c r="C343" s="4" t="n">
        <v>0.9955074722655175</v>
      </c>
      <c r="D343" s="2" t="inlineStr">
        <is>
          <t>IWMI</t>
        </is>
      </c>
      <c r="E343" s="11" t="inlineStr">
        <is>
          <t>Brokerage</t>
        </is>
      </c>
      <c r="F343" s="11" t="n"/>
      <c r="G343" s="182" t="n">
        <v>110.32</v>
      </c>
      <c r="H343" s="183" t="n">
        <v>2337100</v>
      </c>
      <c r="I343" s="181" t="n">
        <v>-0.01067171</v>
      </c>
      <c r="J343" s="181" t="n">
        <v>-0.03380628</v>
      </c>
      <c r="K343" s="181" t="n">
        <v>-0.00996142</v>
      </c>
      <c r="L343" s="181" t="n">
        <v>0.32343842</v>
      </c>
      <c r="M343" s="181" t="n">
        <v>0.3467783</v>
      </c>
      <c r="N343" s="181" t="n">
        <v>0.33418223</v>
      </c>
    </row>
    <row r="344">
      <c r="G344" s="182">
        <f>IF($B344="","",IFERROR(XLOOKUP($B344,'Daily Update'!$A:$A,'Daily Update'!$C:$C),""))</f>
        <v/>
      </c>
      <c r="H344" s="183">
        <f>IF($B344="","",IFERROR(XLOOKUP($B344,'Daily Update'!$A:$A,'Daily Update'!$D:$D),""))</f>
        <v/>
      </c>
      <c r="I344" s="181">
        <f>IF($B344="","",IFERROR(XLOOKUP($B344,'Daily Update'!$A:$A,'Daily Update'!$E:$E),""))</f>
        <v/>
      </c>
      <c r="J344" s="181">
        <f>IF($B344="","",IFERROR(XLOOKUP($B344,'Daily Update'!$A:$A,'Daily Update'!$F:$F),""))</f>
        <v/>
      </c>
      <c r="K344" s="181">
        <f>IF($B344="","",IFERROR(XLOOKUP($B344,'Daily Update'!$A:$A,'Daily Update'!$G:$G),""))</f>
        <v/>
      </c>
      <c r="L344" s="181">
        <f>IF($B344="","",IFERROR(XLOOKUP($B344,'Daily Update'!$A:$A,'Daily Update'!$H:$H),""))</f>
        <v/>
      </c>
      <c r="M344" s="181">
        <f>IF($B344="","",IFERROR(XLOOKUP($B344,'Daily Update'!$A:$A,'Daily Update'!$I:$I),""))</f>
        <v/>
      </c>
      <c r="N344" s="181">
        <f>IF($B344="","",IFERROR(XLOOKUP($B344,'Daily Update'!$A:$A,'Daily Update'!$J:$J),""))</f>
        <v/>
      </c>
    </row>
    <row r="345">
      <c r="A345" s="38" t="inlineStr">
        <is>
          <t>NEOS ETF TRUST NEOS NASDAQ 100 HIGH INCOME ETF</t>
        </is>
      </c>
      <c r="B345" s="8" t="inlineStr">
        <is>
          <t>QQQI</t>
        </is>
      </c>
      <c r="C345" s="7">
        <f>SUM(C346:C356)</f>
        <v/>
      </c>
      <c r="D345" s="8" t="inlineStr">
        <is>
          <t>QQQI</t>
        </is>
      </c>
      <c r="E345" s="38" t="inlineStr">
        <is>
          <t>IRA</t>
        </is>
      </c>
      <c r="F345" s="38" t="n"/>
      <c r="G345" s="182" t="n">
        <v>56.14</v>
      </c>
      <c r="H345" s="183" t="n">
        <v>7640900</v>
      </c>
      <c r="I345" s="181" t="n">
        <v>-0.00354989</v>
      </c>
      <c r="J345" s="181" t="n">
        <v>-0.00319603</v>
      </c>
      <c r="K345" s="181" t="n">
        <v>0.05412315</v>
      </c>
      <c r="L345" s="181" t="n">
        <v>0.2700307</v>
      </c>
      <c r="M345" s="181" t="n">
        <v>0.46685149</v>
      </c>
      <c r="N345" s="181" t="n"/>
    </row>
    <row r="346">
      <c r="A346" t="inlineStr">
        <is>
          <t xml:space="preserve">Meta Platforms Inc Class A </t>
        </is>
      </c>
      <c r="B346" t="inlineStr">
        <is>
          <t>META</t>
        </is>
      </c>
      <c r="C346" s="4" t="n">
        <v>0.0329</v>
      </c>
      <c r="D346" s="2" t="inlineStr">
        <is>
          <t>QQQI</t>
        </is>
      </c>
      <c r="E346" s="11" t="inlineStr">
        <is>
          <t>Brokerage</t>
        </is>
      </c>
      <c r="F346" s="11" t="n"/>
      <c r="G346" s="182" t="n">
        <v>602.61</v>
      </c>
      <c r="H346" s="183" t="n">
        <v>11720900</v>
      </c>
      <c r="I346" s="181" t="n">
        <v>-0.01407051</v>
      </c>
      <c r="J346" s="181" t="n">
        <v>-0.00064679</v>
      </c>
      <c r="K346" s="181" t="n">
        <v>-0.12481302</v>
      </c>
      <c r="L346" s="181" t="n">
        <v>-0.05611858</v>
      </c>
      <c r="M346" s="181" t="n">
        <v>0.28561643</v>
      </c>
      <c r="N346" s="181" t="n">
        <v>0.90621436</v>
      </c>
    </row>
    <row r="347">
      <c r="A347" t="inlineStr">
        <is>
          <t xml:space="preserve">Tesla Inc </t>
        </is>
      </c>
      <c r="B347" t="inlineStr">
        <is>
          <t>TSLA</t>
        </is>
      </c>
      <c r="C347" s="4" t="n">
        <v>0.0337</v>
      </c>
      <c r="D347" s="2" t="inlineStr">
        <is>
          <t>QQQI</t>
        </is>
      </c>
      <c r="E347" s="11" t="inlineStr">
        <is>
          <t>Brokerage</t>
        </is>
      </c>
      <c r="F347" s="11" t="n"/>
      <c r="G347" s="182" t="n">
        <v>404.11</v>
      </c>
      <c r="H347" s="183" t="n">
        <v>46354700</v>
      </c>
      <c r="I347" s="181" t="n">
        <v>-0.01434183</v>
      </c>
      <c r="J347" s="181" t="n">
        <v>-0.06768953</v>
      </c>
      <c r="K347" s="181" t="n">
        <v>0.008711470000000001</v>
      </c>
      <c r="L347" s="181" t="n">
        <v>0.18129729</v>
      </c>
      <c r="M347" s="181" t="n">
        <v>1.27718906</v>
      </c>
      <c r="N347" s="181" t="n">
        <v>1.06607234</v>
      </c>
    </row>
    <row r="348">
      <c r="A348" t="inlineStr">
        <is>
          <t>Option on NASDAQ 100 PR USD</t>
        </is>
      </c>
      <c r="C348" s="4" t="n">
        <v>0.0358</v>
      </c>
      <c r="D348" s="2" t="inlineStr">
        <is>
          <t>QQQI</t>
        </is>
      </c>
      <c r="E348" s="11" t="inlineStr">
        <is>
          <t>Brokerage</t>
        </is>
      </c>
      <c r="F348" s="11" t="n"/>
      <c r="G348" s="182">
        <f>IF($B348="","",IFERROR(XLOOKUP($B348,'Daily Update'!$A:$A,'Daily Update'!$C:$C),""))</f>
        <v/>
      </c>
      <c r="H348" s="183">
        <f>IF($B348="","",IFERROR(XLOOKUP($B348,'Daily Update'!$A:$A,'Daily Update'!$D:$D),""))</f>
        <v/>
      </c>
      <c r="I348" s="181">
        <f>IF($B348="","",IFERROR(XLOOKUP($B348,'Daily Update'!$A:$A,'Daily Update'!$E:$E),""))</f>
        <v/>
      </c>
      <c r="J348" s="181">
        <f>IF($B348="","",IFERROR(XLOOKUP($B348,'Daily Update'!$A:$A,'Daily Update'!$F:$F),""))</f>
        <v/>
      </c>
      <c r="K348" s="181">
        <f>IF($B348="","",IFERROR(XLOOKUP($B348,'Daily Update'!$A:$A,'Daily Update'!$G:$G),""))</f>
        <v/>
      </c>
      <c r="L348" s="181">
        <f>IF($B348="","",IFERROR(XLOOKUP($B348,'Daily Update'!$A:$A,'Daily Update'!$H:$H),""))</f>
        <v/>
      </c>
      <c r="M348" s="181">
        <f>IF($B348="","",IFERROR(XLOOKUP($B348,'Daily Update'!$A:$A,'Daily Update'!$I:$I),""))</f>
        <v/>
      </c>
      <c r="N348" s="181">
        <f>IF($B348="","",IFERROR(XLOOKUP($B348,'Daily Update'!$A:$A,'Daily Update'!$J:$J),""))</f>
        <v/>
      </c>
    </row>
    <row r="349">
      <c r="A349" t="inlineStr">
        <is>
          <t xml:space="preserve">Broadcom Inc </t>
        </is>
      </c>
      <c r="B349" t="inlineStr">
        <is>
          <t>AVGO</t>
        </is>
      </c>
      <c r="C349" s="4" t="n">
        <v>0.0365</v>
      </c>
      <c r="D349" s="2" t="inlineStr">
        <is>
          <t>QQQI</t>
        </is>
      </c>
      <c r="E349" s="11" t="inlineStr">
        <is>
          <t>Brokerage</t>
        </is>
      </c>
      <c r="F349" s="11" t="n"/>
      <c r="G349" s="182" t="n">
        <v>411.07</v>
      </c>
      <c r="H349" s="183" t="n">
        <v>20620900</v>
      </c>
      <c r="I349" s="181" t="n">
        <v>-0.02291361</v>
      </c>
      <c r="J349" s="181" t="n">
        <v>-0.01962791</v>
      </c>
      <c r="K349" s="181" t="n">
        <v>0.01114281</v>
      </c>
      <c r="L349" s="181" t="n">
        <v>0.7968204800000001</v>
      </c>
      <c r="M349" s="181" t="n">
        <v>2.00630568</v>
      </c>
      <c r="N349" s="181" t="n">
        <v>8.985732649999999</v>
      </c>
    </row>
    <row r="350">
      <c r="A350" t="inlineStr">
        <is>
          <t xml:space="preserve">Alphabet Inc Class C </t>
        </is>
      </c>
      <c r="B350" t="inlineStr">
        <is>
          <t>GOOG</t>
        </is>
      </c>
      <c r="C350" s="4" t="n">
        <v>0.0381</v>
      </c>
      <c r="D350" s="2" t="inlineStr">
        <is>
          <t>QQQI</t>
        </is>
      </c>
      <c r="E350" s="11" t="inlineStr">
        <is>
          <t>Brokerage</t>
        </is>
      </c>
      <c r="F350" s="11" t="n"/>
      <c r="G350" s="182" t="n">
        <v>384.9</v>
      </c>
      <c r="H350" s="183" t="n">
        <v>25497700</v>
      </c>
      <c r="I350" s="181" t="n">
        <v>-0.02088472</v>
      </c>
      <c r="J350" s="181" t="n">
        <v>0.00281378</v>
      </c>
      <c r="K350" s="181" t="n">
        <v>0.13406011</v>
      </c>
      <c r="L350" s="181" t="n">
        <v>1.30077221</v>
      </c>
      <c r="M350" s="181" t="n">
        <v>1.18884331</v>
      </c>
      <c r="N350" s="181" t="n">
        <v>2.2941019</v>
      </c>
    </row>
    <row r="351">
      <c r="A351" t="inlineStr">
        <is>
          <t xml:space="preserve">Alphabet Inc Class A </t>
        </is>
      </c>
      <c r="B351" t="inlineStr">
        <is>
          <t>GOOGL</t>
        </is>
      </c>
      <c r="C351" s="4" t="n">
        <v>0.0412</v>
      </c>
      <c r="D351" s="2" t="inlineStr">
        <is>
          <t>QQQI</t>
        </is>
      </c>
      <c r="E351" s="11" t="inlineStr">
        <is>
          <t>Brokerage</t>
        </is>
      </c>
      <c r="F351" s="11" t="n"/>
      <c r="G351" s="182" t="n">
        <v>387.66</v>
      </c>
      <c r="H351" s="183" t="n">
        <v>39458400</v>
      </c>
      <c r="I351" s="181" t="n">
        <v>-0.02337884</v>
      </c>
      <c r="J351" s="181" t="n">
        <v>0.0008003</v>
      </c>
      <c r="K351" s="181" t="n">
        <v>0.13457039</v>
      </c>
      <c r="L351" s="181" t="n">
        <v>1.33580064</v>
      </c>
      <c r="M351" s="181" t="n">
        <v>1.22006163</v>
      </c>
      <c r="N351" s="181" t="n">
        <v>2.38857827</v>
      </c>
    </row>
    <row r="352">
      <c r="A352" t="inlineStr">
        <is>
          <t xml:space="preserve">Amazon.com Inc </t>
        </is>
      </c>
      <c r="B352" t="inlineStr">
        <is>
          <t>AMZN</t>
        </is>
      </c>
      <c r="C352" s="4" t="n">
        <v>0.0518</v>
      </c>
      <c r="D352" s="2" t="inlineStr">
        <is>
          <t>QQQI</t>
        </is>
      </c>
      <c r="E352" s="11" t="inlineStr">
        <is>
          <t>Brokerage</t>
        </is>
      </c>
      <c r="F352" s="11" t="n"/>
      <c r="G352" s="182" t="n">
        <v>259.34</v>
      </c>
      <c r="H352" s="183" t="n">
        <v>40269100</v>
      </c>
      <c r="I352" s="181" t="n">
        <v>-0.02084116</v>
      </c>
      <c r="J352" s="181" t="n">
        <v>-0.02437744</v>
      </c>
      <c r="K352" s="181" t="n">
        <v>0.0350415</v>
      </c>
      <c r="L352" s="181" t="n">
        <v>0.25795495</v>
      </c>
      <c r="M352" s="181" t="n">
        <v>0.40411478</v>
      </c>
      <c r="N352" s="181" t="n">
        <v>0.59707848</v>
      </c>
    </row>
    <row r="353">
      <c r="A353" t="inlineStr">
        <is>
          <t xml:space="preserve">Microsoft Corp </t>
        </is>
      </c>
      <c r="B353" t="inlineStr">
        <is>
          <t>MSFT</t>
        </is>
      </c>
      <c r="C353" s="4" t="n">
        <v>0.0553</v>
      </c>
      <c r="D353" s="2" t="inlineStr">
        <is>
          <t>QQQI</t>
        </is>
      </c>
      <c r="E353" s="11" t="inlineStr">
        <is>
          <t>Brokerage</t>
        </is>
      </c>
      <c r="F353" s="11" t="n"/>
      <c r="G353" s="182" t="n">
        <v>417.42</v>
      </c>
      <c r="H353" s="183" t="n">
        <v>32942800</v>
      </c>
      <c r="I353" s="181" t="n">
        <v>-0.01444963</v>
      </c>
      <c r="J353" s="181" t="n">
        <v>0.02366536</v>
      </c>
      <c r="K353" s="181" t="n">
        <v>-0.01270133</v>
      </c>
      <c r="L353" s="181" t="n">
        <v>-0.08504617</v>
      </c>
      <c r="M353" s="181" t="n">
        <v>0.00679123</v>
      </c>
      <c r="N353" s="181" t="n">
        <v>0.76083236</v>
      </c>
    </row>
    <row r="354">
      <c r="A354" t="inlineStr">
        <is>
          <t xml:space="preserve">Apple Inc </t>
        </is>
      </c>
      <c r="B354" t="inlineStr">
        <is>
          <t>AAPL</t>
        </is>
      </c>
      <c r="C354" s="4" t="n">
        <v>0.0707</v>
      </c>
      <c r="D354" s="2" t="inlineStr">
        <is>
          <t>QQQI</t>
        </is>
      </c>
      <c r="E354" s="11" t="inlineStr">
        <is>
          <t>Brokerage</t>
        </is>
      </c>
      <c r="F354" s="11" t="n"/>
      <c r="G354" s="182" t="n">
        <v>298.97</v>
      </c>
      <c r="H354" s="183" t="n">
        <v>42199700</v>
      </c>
      <c r="I354" s="181" t="n">
        <v>0.003794</v>
      </c>
      <c r="J354" s="181" t="n">
        <v>0.01414523</v>
      </c>
      <c r="K354" s="181" t="n">
        <v>0.10737315</v>
      </c>
      <c r="L354" s="181" t="n">
        <v>0.43766669</v>
      </c>
      <c r="M354" s="181" t="n">
        <v>0.5882436599999999</v>
      </c>
      <c r="N354" s="181" t="n">
        <v>1.40918958</v>
      </c>
    </row>
    <row r="355">
      <c r="A355" t="inlineStr">
        <is>
          <t xml:space="preserve">NVIDIA Corp </t>
        </is>
      </c>
      <c r="B355" t="inlineStr">
        <is>
          <t>NVDA</t>
        </is>
      </c>
      <c r="C355" s="4" t="n">
        <v>0.0857</v>
      </c>
      <c r="D355" s="2" t="inlineStr">
        <is>
          <t>QQQI</t>
        </is>
      </c>
      <c r="E355" s="11" t="inlineStr">
        <is>
          <t>Brokerage</t>
        </is>
      </c>
      <c r="F355" s="11" t="n"/>
      <c r="G355" s="182" t="n">
        <v>220.61</v>
      </c>
      <c r="H355" s="183" t="n">
        <v>140201600</v>
      </c>
      <c r="I355" s="181" t="n">
        <v>-0.00769165</v>
      </c>
      <c r="J355" s="181" t="n">
        <v>-0.00076999</v>
      </c>
      <c r="K355" s="181" t="n">
        <v>0.09386161</v>
      </c>
      <c r="L355" s="181" t="n">
        <v>0.62766095</v>
      </c>
      <c r="M355" s="181" t="n">
        <v>1.38686075</v>
      </c>
      <c r="N355" s="181" t="n">
        <v>14.1353981</v>
      </c>
    </row>
    <row r="356">
      <c r="A356" t="inlineStr">
        <is>
          <t>Other</t>
        </is>
      </c>
      <c r="B356" t="inlineStr">
        <is>
          <t>OTH</t>
        </is>
      </c>
      <c r="C356" s="4">
        <f>100%-(SUM(C346:C355))</f>
        <v/>
      </c>
      <c r="D356" s="2" t="inlineStr">
        <is>
          <t>QQQI</t>
        </is>
      </c>
      <c r="E356" s="11" t="inlineStr">
        <is>
          <t>Brokerage</t>
        </is>
      </c>
      <c r="F356" s="11" t="n"/>
      <c r="G356" s="182">
        <f>IF($B356="","",IFERROR(XLOOKUP($B356,'Daily Update'!$A:$A,'Daily Update'!$C:$C),""))</f>
        <v/>
      </c>
      <c r="H356" s="183">
        <f>IF($B356="","",IFERROR(XLOOKUP($B356,'Daily Update'!$A:$A,'Daily Update'!$D:$D),""))</f>
        <v/>
      </c>
      <c r="I356" s="181">
        <f>IF($B356="","",IFERROR(XLOOKUP($B356,'Daily Update'!$A:$A,'Daily Update'!$E:$E),""))</f>
        <v/>
      </c>
      <c r="J356" s="181">
        <f>IF($B356="","",IFERROR(XLOOKUP($B356,'Daily Update'!$A:$A,'Daily Update'!$F:$F),""))</f>
        <v/>
      </c>
      <c r="K356" s="181">
        <f>IF($B356="","",IFERROR(XLOOKUP($B356,'Daily Update'!$A:$A,'Daily Update'!$G:$G),""))</f>
        <v/>
      </c>
      <c r="L356" s="181">
        <f>IF($B356="","",IFERROR(XLOOKUP($B356,'Daily Update'!$A:$A,'Daily Update'!$H:$H),""))</f>
        <v/>
      </c>
      <c r="M356" s="181">
        <f>IF($B356="","",IFERROR(XLOOKUP($B356,'Daily Update'!$A:$A,'Daily Update'!$I:$I),""))</f>
        <v/>
      </c>
      <c r="N356" s="181">
        <f>IF($B356="","",IFERROR(XLOOKUP($B356,'Daily Update'!$A:$A,'Daily Update'!$J:$J),""))</f>
        <v/>
      </c>
    </row>
    <row r="357">
      <c r="G357" s="182">
        <f>IF($B357="","",IFERROR(XLOOKUP($B357,'Daily Update'!$A:$A,'Daily Update'!$C:$C),""))</f>
        <v/>
      </c>
      <c r="H357" s="183">
        <f>IF($B357="","",IFERROR(XLOOKUP($B357,'Daily Update'!$A:$A,'Daily Update'!$D:$D),""))</f>
        <v/>
      </c>
      <c r="I357" s="181">
        <f>IF($B357="","",IFERROR(XLOOKUP($B357,'Daily Update'!$A:$A,'Daily Update'!$E:$E),""))</f>
        <v/>
      </c>
      <c r="J357" s="181">
        <f>IF($B357="","",IFERROR(XLOOKUP($B357,'Daily Update'!$A:$A,'Daily Update'!$F:$F),""))</f>
        <v/>
      </c>
      <c r="K357" s="181">
        <f>IF($B357="","",IFERROR(XLOOKUP($B357,'Daily Update'!$A:$A,'Daily Update'!$G:$G),""))</f>
        <v/>
      </c>
      <c r="L357" s="181">
        <f>IF($B357="","",IFERROR(XLOOKUP($B357,'Daily Update'!$A:$A,'Daily Update'!$H:$H),""))</f>
        <v/>
      </c>
      <c r="M357" s="181">
        <f>IF($B357="","",IFERROR(XLOOKUP($B357,'Daily Update'!$A:$A,'Daily Update'!$I:$I),""))</f>
        <v/>
      </c>
      <c r="N357" s="181">
        <f>IF($B357="","",IFERROR(XLOOKUP($B357,'Daily Update'!$A:$A,'Daily Update'!$J:$J),""))</f>
        <v/>
      </c>
    </row>
    <row r="358">
      <c r="A358" s="38" t="inlineStr">
        <is>
          <t>SHP ETF TR NEOS S&amp;P 500 HIGH INCOME ETF</t>
        </is>
      </c>
      <c r="B358" s="8" t="inlineStr">
        <is>
          <t>SPYI</t>
        </is>
      </c>
      <c r="C358" s="7">
        <f>SUM(C359:C367)</f>
        <v/>
      </c>
      <c r="D358" s="8" t="inlineStr">
        <is>
          <t>SPYI</t>
        </is>
      </c>
      <c r="E358" s="38" t="inlineStr">
        <is>
          <t>IRA</t>
        </is>
      </c>
      <c r="F358" s="38" t="n"/>
      <c r="G358" s="182" t="n">
        <v>53.33</v>
      </c>
      <c r="H358" s="183" t="n">
        <v>3214400</v>
      </c>
      <c r="I358" s="181" t="n">
        <v>-0.00392228</v>
      </c>
      <c r="J358" s="181" t="n">
        <v>-0.00243167</v>
      </c>
      <c r="K358" s="181" t="n">
        <v>0.02513559</v>
      </c>
      <c r="L358" s="181" t="n">
        <v>0.21245041</v>
      </c>
      <c r="M358" s="181" t="n">
        <v>0.36003304</v>
      </c>
      <c r="N358" s="181" t="n"/>
    </row>
    <row r="359">
      <c r="A359" t="inlineStr">
        <is>
          <t xml:space="preserve">Meta Platforms Inc Class A </t>
        </is>
      </c>
      <c r="B359" t="inlineStr">
        <is>
          <t>META</t>
        </is>
      </c>
      <c r="C359" s="4" t="n">
        <v>0.0228</v>
      </c>
      <c r="D359" s="2" t="inlineStr">
        <is>
          <t>SPYI</t>
        </is>
      </c>
      <c r="E359" s="11" t="inlineStr">
        <is>
          <t>Brokerage</t>
        </is>
      </c>
      <c r="F359" s="11" t="n"/>
      <c r="G359" s="182" t="n">
        <v>602.61</v>
      </c>
      <c r="H359" s="183" t="n">
        <v>11720900</v>
      </c>
      <c r="I359" s="181" t="n">
        <v>-0.01407051</v>
      </c>
      <c r="J359" s="181" t="n">
        <v>-0.00064679</v>
      </c>
      <c r="K359" s="181" t="n">
        <v>-0.12481302</v>
      </c>
      <c r="L359" s="181" t="n">
        <v>-0.05611858</v>
      </c>
      <c r="M359" s="181" t="n">
        <v>0.28561643</v>
      </c>
      <c r="N359" s="181" t="n">
        <v>0.90621436</v>
      </c>
    </row>
    <row r="360">
      <c r="A360" t="inlineStr">
        <is>
          <t xml:space="preserve">Alphabet Inc Class C </t>
        </is>
      </c>
      <c r="B360" t="inlineStr">
        <is>
          <t>GOOG</t>
        </is>
      </c>
      <c r="C360" s="4" t="n">
        <v>0.0296</v>
      </c>
      <c r="D360" s="2" t="inlineStr">
        <is>
          <t>SPYI</t>
        </is>
      </c>
      <c r="E360" s="11" t="inlineStr">
        <is>
          <t>Brokerage</t>
        </is>
      </c>
      <c r="F360" s="11" t="n"/>
      <c r="G360" s="182" t="n">
        <v>384.9</v>
      </c>
      <c r="H360" s="183" t="n">
        <v>25497700</v>
      </c>
      <c r="I360" s="181" t="n">
        <v>-0.02088472</v>
      </c>
      <c r="J360" s="181" t="n">
        <v>0.00281378</v>
      </c>
      <c r="K360" s="181" t="n">
        <v>0.13406011</v>
      </c>
      <c r="L360" s="181" t="n">
        <v>1.30077221</v>
      </c>
      <c r="M360" s="181" t="n">
        <v>1.18884331</v>
      </c>
      <c r="N360" s="181" t="n">
        <v>2.2941019</v>
      </c>
    </row>
    <row r="361">
      <c r="A361" t="inlineStr">
        <is>
          <t xml:space="preserve">Broadcom Inc </t>
        </is>
      </c>
      <c r="B361" t="inlineStr">
        <is>
          <t>AVGO</t>
        </is>
      </c>
      <c r="C361" s="4" t="n">
        <v>0.0327</v>
      </c>
      <c r="D361" s="2" t="inlineStr">
        <is>
          <t>SPYI</t>
        </is>
      </c>
      <c r="E361" s="11" t="inlineStr">
        <is>
          <t>Brokerage</t>
        </is>
      </c>
      <c r="F361" s="11" t="n"/>
      <c r="G361" s="182" t="n">
        <v>411.07</v>
      </c>
      <c r="H361" s="183" t="n">
        <v>20620900</v>
      </c>
      <c r="I361" s="181" t="n">
        <v>-0.02291361</v>
      </c>
      <c r="J361" s="181" t="n">
        <v>-0.01962791</v>
      </c>
      <c r="K361" s="181" t="n">
        <v>0.01114281</v>
      </c>
      <c r="L361" s="181" t="n">
        <v>0.7968204800000001</v>
      </c>
      <c r="M361" s="181" t="n">
        <v>2.00630568</v>
      </c>
      <c r="N361" s="181" t="n">
        <v>8.985732649999999</v>
      </c>
    </row>
    <row r="362">
      <c r="A362" t="inlineStr">
        <is>
          <t xml:space="preserve">Alphabet Inc Class A </t>
        </is>
      </c>
      <c r="B362" t="inlineStr">
        <is>
          <t>GOOGL</t>
        </is>
      </c>
      <c r="C362" s="4" t="n">
        <v>0.0371</v>
      </c>
      <c r="D362" s="2" t="inlineStr">
        <is>
          <t>SPYI</t>
        </is>
      </c>
      <c r="E362" s="11" t="inlineStr">
        <is>
          <t>Brokerage</t>
        </is>
      </c>
      <c r="F362" s="11" t="n"/>
      <c r="G362" s="182" t="n">
        <v>387.66</v>
      </c>
      <c r="H362" s="183" t="n">
        <v>39458400</v>
      </c>
      <c r="I362" s="181" t="n">
        <v>-0.02337884</v>
      </c>
      <c r="J362" s="181" t="n">
        <v>0.0008003</v>
      </c>
      <c r="K362" s="181" t="n">
        <v>0.13457039</v>
      </c>
      <c r="L362" s="181" t="n">
        <v>1.33580064</v>
      </c>
      <c r="M362" s="181" t="n">
        <v>1.22006163</v>
      </c>
      <c r="N362" s="181" t="n">
        <v>2.38857827</v>
      </c>
    </row>
    <row r="363">
      <c r="A363" t="inlineStr">
        <is>
          <t xml:space="preserve">Amazon.com Inc </t>
        </is>
      </c>
      <c r="B363" t="inlineStr">
        <is>
          <t>AMZN</t>
        </is>
      </c>
      <c r="C363" s="4" t="n">
        <v>0.0429</v>
      </c>
      <c r="D363" s="2" t="inlineStr">
        <is>
          <t>SPYI</t>
        </is>
      </c>
      <c r="E363" s="11" t="inlineStr">
        <is>
          <t>Brokerage</t>
        </is>
      </c>
      <c r="F363" s="11" t="n"/>
      <c r="G363" s="182" t="n">
        <v>259.34</v>
      </c>
      <c r="H363" s="183" t="n">
        <v>40269100</v>
      </c>
      <c r="I363" s="181" t="n">
        <v>-0.02084116</v>
      </c>
      <c r="J363" s="181" t="n">
        <v>-0.02437744</v>
      </c>
      <c r="K363" s="181" t="n">
        <v>0.0350415</v>
      </c>
      <c r="L363" s="181" t="n">
        <v>0.25795495</v>
      </c>
      <c r="M363" s="181" t="n">
        <v>0.40411478</v>
      </c>
      <c r="N363" s="181" t="n">
        <v>0.59707848</v>
      </c>
    </row>
    <row r="364">
      <c r="A364" t="inlineStr">
        <is>
          <t xml:space="preserve">Microsoft Corp </t>
        </is>
      </c>
      <c r="B364" t="inlineStr">
        <is>
          <t>MSFT</t>
        </is>
      </c>
      <c r="C364" s="4" t="n">
        <v>0.0503</v>
      </c>
      <c r="D364" s="2" t="inlineStr">
        <is>
          <t>SPYI</t>
        </is>
      </c>
      <c r="E364" s="11" t="inlineStr">
        <is>
          <t>Brokerage</t>
        </is>
      </c>
      <c r="F364" s="11" t="n"/>
      <c r="G364" s="182" t="n">
        <v>417.42</v>
      </c>
      <c r="H364" s="183" t="n">
        <v>32942800</v>
      </c>
      <c r="I364" s="181" t="n">
        <v>-0.01444963</v>
      </c>
      <c r="J364" s="181" t="n">
        <v>0.02366536</v>
      </c>
      <c r="K364" s="181" t="n">
        <v>-0.01270133</v>
      </c>
      <c r="L364" s="181" t="n">
        <v>-0.08504617</v>
      </c>
      <c r="M364" s="181" t="n">
        <v>0.00679123</v>
      </c>
      <c r="N364" s="181" t="n">
        <v>0.76083236</v>
      </c>
    </row>
    <row r="365">
      <c r="A365" t="inlineStr">
        <is>
          <t xml:space="preserve">Apple Inc </t>
        </is>
      </c>
      <c r="B365" t="inlineStr">
        <is>
          <t>AAPL</t>
        </is>
      </c>
      <c r="C365" s="4" t="n">
        <v>0.0672</v>
      </c>
      <c r="D365" s="2" t="inlineStr">
        <is>
          <t>SPYI</t>
        </is>
      </c>
      <c r="E365" s="11" t="inlineStr">
        <is>
          <t>Brokerage</t>
        </is>
      </c>
      <c r="F365" s="11" t="n"/>
      <c r="G365" s="182" t="n">
        <v>298.97</v>
      </c>
      <c r="H365" s="183" t="n">
        <v>42199700</v>
      </c>
      <c r="I365" s="181" t="n">
        <v>0.003794</v>
      </c>
      <c r="J365" s="181" t="n">
        <v>0.01414523</v>
      </c>
      <c r="K365" s="181" t="n">
        <v>0.10737315</v>
      </c>
      <c r="L365" s="181" t="n">
        <v>0.43766669</v>
      </c>
      <c r="M365" s="181" t="n">
        <v>0.5882436599999999</v>
      </c>
      <c r="N365" s="181" t="n">
        <v>1.40918958</v>
      </c>
    </row>
    <row r="366">
      <c r="A366" t="inlineStr">
        <is>
          <t xml:space="preserve">NVIDIA Corp </t>
        </is>
      </c>
      <c r="B366" t="inlineStr">
        <is>
          <t>NVDA</t>
        </is>
      </c>
      <c r="C366" s="4" t="n">
        <v>0.0803</v>
      </c>
      <c r="D366" s="2" t="inlineStr">
        <is>
          <t>SPYI</t>
        </is>
      </c>
      <c r="E366" s="11" t="inlineStr">
        <is>
          <t>Brokerage</t>
        </is>
      </c>
      <c r="F366" s="11" t="n"/>
      <c r="G366" s="182" t="n">
        <v>220.61</v>
      </c>
      <c r="H366" s="183" t="n">
        <v>140201600</v>
      </c>
      <c r="I366" s="181" t="n">
        <v>-0.00769165</v>
      </c>
      <c r="J366" s="181" t="n">
        <v>-0.00076999</v>
      </c>
      <c r="K366" s="181" t="n">
        <v>0.09386161</v>
      </c>
      <c r="L366" s="181" t="n">
        <v>0.62766095</v>
      </c>
      <c r="M366" s="181" t="n">
        <v>1.38686075</v>
      </c>
      <c r="N366" s="181" t="n">
        <v>14.1353981</v>
      </c>
    </row>
    <row r="367">
      <c r="A367" t="inlineStr">
        <is>
          <t>Other</t>
        </is>
      </c>
      <c r="B367" t="inlineStr">
        <is>
          <t>OTH</t>
        </is>
      </c>
      <c r="C367" s="4">
        <f>100%-(SUM(C359:C366))</f>
        <v/>
      </c>
      <c r="D367" s="2" t="inlineStr">
        <is>
          <t>SPYI</t>
        </is>
      </c>
      <c r="E367" s="11" t="inlineStr">
        <is>
          <t>Brokerage</t>
        </is>
      </c>
      <c r="F367" s="11" t="n"/>
      <c r="G367" s="182">
        <f>IF($B367="","",IFERROR(XLOOKUP($B367,'Daily Update'!$A:$A,'Daily Update'!$C:$C),""))</f>
        <v/>
      </c>
      <c r="H367" s="183">
        <f>IF($B367="","",IFERROR(XLOOKUP($B367,'Daily Update'!$A:$A,'Daily Update'!$D:$D),""))</f>
        <v/>
      </c>
      <c r="I367" s="181">
        <f>IF($B367="","",IFERROR(XLOOKUP($B367,'Daily Update'!$A:$A,'Daily Update'!$E:$E),""))</f>
        <v/>
      </c>
      <c r="J367" s="181">
        <f>IF($B367="","",IFERROR(XLOOKUP($B367,'Daily Update'!$A:$A,'Daily Update'!$F:$F),""))</f>
        <v/>
      </c>
      <c r="K367" s="181">
        <f>IF($B367="","",IFERROR(XLOOKUP($B367,'Daily Update'!$A:$A,'Daily Update'!$G:$G),""))</f>
        <v/>
      </c>
      <c r="L367" s="181">
        <f>IF($B367="","",IFERROR(XLOOKUP($B367,'Daily Update'!$A:$A,'Daily Update'!$H:$H),""))</f>
        <v/>
      </c>
      <c r="M367" s="181">
        <f>IF($B367="","",IFERROR(XLOOKUP($B367,'Daily Update'!$A:$A,'Daily Update'!$I:$I),""))</f>
        <v/>
      </c>
      <c r="N367" s="181">
        <f>IF($B367="","",IFERROR(XLOOKUP($B367,'Daily Update'!$A:$A,'Daily Update'!$J:$J),""))</f>
        <v/>
      </c>
    </row>
    <row r="368">
      <c r="G368" s="182">
        <f>IF($B368="","",IFERROR(XLOOKUP($B368,'Daily Update'!$A:$A,'Daily Update'!$C:$C),""))</f>
        <v/>
      </c>
      <c r="H368" s="183">
        <f>IF($B368="","",IFERROR(XLOOKUP($B368,'Daily Update'!$A:$A,'Daily Update'!$D:$D),""))</f>
        <v/>
      </c>
      <c r="I368" s="181">
        <f>IF($B368="","",IFERROR(XLOOKUP($B368,'Daily Update'!$A:$A,'Daily Update'!$E:$E),""))</f>
        <v/>
      </c>
      <c r="J368" s="181">
        <f>IF($B368="","",IFERROR(XLOOKUP($B368,'Daily Update'!$A:$A,'Daily Update'!$F:$F),""))</f>
        <v/>
      </c>
      <c r="K368" s="181">
        <f>IF($B368="","",IFERROR(XLOOKUP($B368,'Daily Update'!$A:$A,'Daily Update'!$G:$G),""))</f>
        <v/>
      </c>
      <c r="L368" s="181">
        <f>IF($B368="","",IFERROR(XLOOKUP($B368,'Daily Update'!$A:$A,'Daily Update'!$H:$H),""))</f>
        <v/>
      </c>
      <c r="M368" s="181">
        <f>IF($B368="","",IFERROR(XLOOKUP($B368,'Daily Update'!$A:$A,'Daily Update'!$I:$I),""))</f>
        <v/>
      </c>
      <c r="N368" s="181">
        <f>IF($B368="","",IFERROR(XLOOKUP($B368,'Daily Update'!$A:$A,'Daily Update'!$J:$J),""))</f>
        <v/>
      </c>
    </row>
    <row r="369">
      <c r="A369" s="38" t="inlineStr">
        <is>
          <t>ROUNDHILL ETF TRUST ROUNDHILL S&amp;P 500 TARGET 20 MANAGED DISTRIBUTION ETF</t>
        </is>
      </c>
      <c r="B369" s="8" t="inlineStr">
        <is>
          <t>XPAY</t>
        </is>
      </c>
      <c r="C369" s="7">
        <f>SUM(C370:C379)</f>
        <v/>
      </c>
      <c r="D369" s="8" t="inlineStr">
        <is>
          <t>XPAY</t>
        </is>
      </c>
      <c r="E369" s="9" t="inlineStr">
        <is>
          <t>Brokerage</t>
        </is>
      </c>
      <c r="F369" s="9" t="n"/>
      <c r="G369" s="182" t="n">
        <v>53.32</v>
      </c>
      <c r="H369" s="183" t="n">
        <v>96900</v>
      </c>
      <c r="I369" s="181" t="n">
        <v>-0.00540946</v>
      </c>
      <c r="J369" s="181" t="n">
        <v>-0.00652131</v>
      </c>
      <c r="K369" s="181" t="n">
        <v>0.03481834</v>
      </c>
      <c r="L369" s="181" t="n">
        <v>0.23758185</v>
      </c>
      <c r="M369" s="181" t="n"/>
      <c r="N369" s="181" t="n"/>
    </row>
    <row r="370">
      <c r="A370" t="inlineStr">
        <is>
          <t>Option On State Street® Spdr® S&amp;P 500® Etf Jul26</t>
        </is>
      </c>
      <c r="C370" s="11" t="n">
        <v>0.03303677678925596</v>
      </c>
      <c r="D370" s="2" t="inlineStr">
        <is>
          <t>XPAY</t>
        </is>
      </c>
      <c r="E370" s="11" t="inlineStr">
        <is>
          <t>Brokerage</t>
        </is>
      </c>
      <c r="F370" s="11" t="n"/>
      <c r="G370" s="182">
        <f>IF($B370="","",IFERROR(XLOOKUP($B370,'Daily Update'!$A:$A,'Daily Update'!$C:$C),""))</f>
        <v/>
      </c>
      <c r="H370" s="183">
        <f>IF($B370="","",IFERROR(XLOOKUP($B370,'Daily Update'!$A:$A,'Daily Update'!$D:$D),""))</f>
        <v/>
      </c>
      <c r="I370" s="181">
        <f>IF($B370="","",IFERROR(XLOOKUP($B370,'Daily Update'!$A:$A,'Daily Update'!$E:$E),""))</f>
        <v/>
      </c>
      <c r="J370" s="181">
        <f>IF($B370="","",IFERROR(XLOOKUP($B370,'Daily Update'!$A:$A,'Daily Update'!$F:$F),""))</f>
        <v/>
      </c>
      <c r="K370" s="181">
        <f>IF($B370="","",IFERROR(XLOOKUP($B370,'Daily Update'!$A:$A,'Daily Update'!$G:$G),""))</f>
        <v/>
      </c>
      <c r="L370" s="181">
        <f>IF($B370="","",IFERROR(XLOOKUP($B370,'Daily Update'!$A:$A,'Daily Update'!$H:$H),""))</f>
        <v/>
      </c>
      <c r="M370" s="181">
        <f>IF($B370="","",IFERROR(XLOOKUP($B370,'Daily Update'!$A:$A,'Daily Update'!$I:$I),""))</f>
        <v/>
      </c>
      <c r="N370" s="181">
        <f>IF($B370="","",IFERROR(XLOOKUP($B370,'Daily Update'!$A:$A,'Daily Update'!$J:$J),""))</f>
        <v/>
      </c>
    </row>
    <row r="371">
      <c r="A371" t="inlineStr">
        <is>
          <t>Option On State Street® Spdr® S&amp;P 500® Etf Sep26</t>
        </is>
      </c>
      <c r="C371" s="11" t="n">
        <v>0.0359834532781776</v>
      </c>
      <c r="D371" s="2" t="inlineStr">
        <is>
          <t>XPAY</t>
        </is>
      </c>
      <c r="E371" s="11" t="inlineStr">
        <is>
          <t>Brokerage</t>
        </is>
      </c>
      <c r="F371" s="11" t="n"/>
      <c r="G371" s="182">
        <f>IF($B371="","",IFERROR(XLOOKUP($B371,'Daily Update'!$A:$A,'Daily Update'!$C:$C),""))</f>
        <v/>
      </c>
      <c r="H371" s="183">
        <f>IF($B371="","",IFERROR(XLOOKUP($B371,'Daily Update'!$A:$A,'Daily Update'!$D:$D),""))</f>
        <v/>
      </c>
      <c r="I371" s="181">
        <f>IF($B371="","",IFERROR(XLOOKUP($B371,'Daily Update'!$A:$A,'Daily Update'!$E:$E),""))</f>
        <v/>
      </c>
      <c r="J371" s="181">
        <f>IF($B371="","",IFERROR(XLOOKUP($B371,'Daily Update'!$A:$A,'Daily Update'!$F:$F),""))</f>
        <v/>
      </c>
      <c r="K371" s="181">
        <f>IF($B371="","",IFERROR(XLOOKUP($B371,'Daily Update'!$A:$A,'Daily Update'!$G:$G),""))</f>
        <v/>
      </c>
      <c r="L371" s="181">
        <f>IF($B371="","",IFERROR(XLOOKUP($B371,'Daily Update'!$A:$A,'Daily Update'!$H:$H),""))</f>
        <v/>
      </c>
      <c r="M371" s="181">
        <f>IF($B371="","",IFERROR(XLOOKUP($B371,'Daily Update'!$A:$A,'Daily Update'!$I:$I),""))</f>
        <v/>
      </c>
      <c r="N371" s="181">
        <f>IF($B371="","",IFERROR(XLOOKUP($B371,'Daily Update'!$A:$A,'Daily Update'!$J:$J),""))</f>
        <v/>
      </c>
    </row>
    <row r="372">
      <c r="A372" t="inlineStr">
        <is>
          <t>Option On State Street® Spdr® S&amp;P 500® Etf Oct26</t>
        </is>
      </c>
      <c r="C372" s="11" t="n">
        <v>0.04539015130050434</v>
      </c>
      <c r="D372" s="2" t="inlineStr">
        <is>
          <t>XPAY</t>
        </is>
      </c>
      <c r="E372" s="11" t="inlineStr">
        <is>
          <t>Brokerage</t>
        </is>
      </c>
      <c r="F372" s="11" t="n"/>
      <c r="G372" s="182">
        <f>IF($B372="","",IFERROR(XLOOKUP($B372,'Daily Update'!$A:$A,'Daily Update'!$C:$C),""))</f>
        <v/>
      </c>
      <c r="H372" s="183">
        <f>IF($B372="","",IFERROR(XLOOKUP($B372,'Daily Update'!$A:$A,'Daily Update'!$D:$D),""))</f>
        <v/>
      </c>
      <c r="I372" s="181">
        <f>IF($B372="","",IFERROR(XLOOKUP($B372,'Daily Update'!$A:$A,'Daily Update'!$E:$E),""))</f>
        <v/>
      </c>
      <c r="J372" s="181">
        <f>IF($B372="","",IFERROR(XLOOKUP($B372,'Daily Update'!$A:$A,'Daily Update'!$F:$F),""))</f>
        <v/>
      </c>
      <c r="K372" s="181">
        <f>IF($B372="","",IFERROR(XLOOKUP($B372,'Daily Update'!$A:$A,'Daily Update'!$G:$G),""))</f>
        <v/>
      </c>
      <c r="L372" s="181">
        <f>IF($B372="","",IFERROR(XLOOKUP($B372,'Daily Update'!$A:$A,'Daily Update'!$H:$H),""))</f>
        <v/>
      </c>
      <c r="M372" s="181">
        <f>IF($B372="","",IFERROR(XLOOKUP($B372,'Daily Update'!$A:$A,'Daily Update'!$I:$I),""))</f>
        <v/>
      </c>
      <c r="N372" s="181">
        <f>IF($B372="","",IFERROR(XLOOKUP($B372,'Daily Update'!$A:$A,'Daily Update'!$J:$J),""))</f>
        <v/>
      </c>
    </row>
    <row r="373">
      <c r="A373" t="inlineStr">
        <is>
          <t>Option On State Street® Spdr® S&amp;P 500® Etf Jun26</t>
        </is>
      </c>
      <c r="C373" s="11" t="n">
        <v>0.04867682892276308</v>
      </c>
      <c r="D373" s="2" t="inlineStr">
        <is>
          <t>XPAY</t>
        </is>
      </c>
      <c r="E373" s="11" t="inlineStr">
        <is>
          <t>Brokerage</t>
        </is>
      </c>
      <c r="F373" s="11" t="n"/>
      <c r="G373" s="182">
        <f>IF($B373="","",IFERROR(XLOOKUP($B373,'Daily Update'!$A:$A,'Daily Update'!$C:$C),""))</f>
        <v/>
      </c>
      <c r="H373" s="183">
        <f>IF($B373="","",IFERROR(XLOOKUP($B373,'Daily Update'!$A:$A,'Daily Update'!$D:$D),""))</f>
        <v/>
      </c>
      <c r="I373" s="181">
        <f>IF($B373="","",IFERROR(XLOOKUP($B373,'Daily Update'!$A:$A,'Daily Update'!$E:$E),""))</f>
        <v/>
      </c>
      <c r="J373" s="181">
        <f>IF($B373="","",IFERROR(XLOOKUP($B373,'Daily Update'!$A:$A,'Daily Update'!$F:$F),""))</f>
        <v/>
      </c>
      <c r="K373" s="181">
        <f>IF($B373="","",IFERROR(XLOOKUP($B373,'Daily Update'!$A:$A,'Daily Update'!$G:$G),""))</f>
        <v/>
      </c>
      <c r="L373" s="181">
        <f>IF($B373="","",IFERROR(XLOOKUP($B373,'Daily Update'!$A:$A,'Daily Update'!$H:$H),""))</f>
        <v/>
      </c>
      <c r="M373" s="181">
        <f>IF($B373="","",IFERROR(XLOOKUP($B373,'Daily Update'!$A:$A,'Daily Update'!$I:$I),""))</f>
        <v/>
      </c>
      <c r="N373" s="181">
        <f>IF($B373="","",IFERROR(XLOOKUP($B373,'Daily Update'!$A:$A,'Daily Update'!$J:$J),""))</f>
        <v/>
      </c>
    </row>
    <row r="374">
      <c r="A374" t="inlineStr">
        <is>
          <t>Option On State Street® Spdr® S&amp;P 500® Etf Aug26</t>
        </is>
      </c>
      <c r="C374" s="11" t="n">
        <v>0.05666685555618519</v>
      </c>
      <c r="D374" s="2" t="inlineStr">
        <is>
          <t>XPAY</t>
        </is>
      </c>
      <c r="E374" s="11" t="inlineStr">
        <is>
          <t>Brokerage</t>
        </is>
      </c>
      <c r="F374" s="11" t="n"/>
      <c r="G374" s="182">
        <f>IF($B374="","",IFERROR(XLOOKUP($B374,'Daily Update'!$A:$A,'Daily Update'!$C:$C),""))</f>
        <v/>
      </c>
      <c r="H374" s="183">
        <f>IF($B374="","",IFERROR(XLOOKUP($B374,'Daily Update'!$A:$A,'Daily Update'!$D:$D),""))</f>
        <v/>
      </c>
      <c r="I374" s="181">
        <f>IF($B374="","",IFERROR(XLOOKUP($B374,'Daily Update'!$A:$A,'Daily Update'!$E:$E),""))</f>
        <v/>
      </c>
      <c r="J374" s="181">
        <f>IF($B374="","",IFERROR(XLOOKUP($B374,'Daily Update'!$A:$A,'Daily Update'!$F:$F),""))</f>
        <v/>
      </c>
      <c r="K374" s="181">
        <f>IF($B374="","",IFERROR(XLOOKUP($B374,'Daily Update'!$A:$A,'Daily Update'!$G:$G),""))</f>
        <v/>
      </c>
      <c r="L374" s="181">
        <f>IF($B374="","",IFERROR(XLOOKUP($B374,'Daily Update'!$A:$A,'Daily Update'!$H:$H),""))</f>
        <v/>
      </c>
      <c r="M374" s="181">
        <f>IF($B374="","",IFERROR(XLOOKUP($B374,'Daily Update'!$A:$A,'Daily Update'!$I:$I),""))</f>
        <v/>
      </c>
      <c r="N374" s="181">
        <f>IF($B374="","",IFERROR(XLOOKUP($B374,'Daily Update'!$A:$A,'Daily Update'!$J:$J),""))</f>
        <v/>
      </c>
    </row>
    <row r="375">
      <c r="A375" t="inlineStr">
        <is>
          <t>Option On State Street® Spdr® S&amp;P 500® Etf Jan27</t>
        </is>
      </c>
      <c r="C375" s="11" t="n">
        <v>0.09746699155663852</v>
      </c>
      <c r="D375" s="2" t="inlineStr">
        <is>
          <t>XPAY</t>
        </is>
      </c>
      <c r="E375" s="11" t="inlineStr">
        <is>
          <t>Brokerage</t>
        </is>
      </c>
      <c r="F375" s="11" t="n"/>
      <c r="G375" s="182">
        <f>IF($B375="","",IFERROR(XLOOKUP($B375,'Daily Update'!$A:$A,'Daily Update'!$C:$C),""))</f>
        <v/>
      </c>
      <c r="H375" s="183">
        <f>IF($B375="","",IFERROR(XLOOKUP($B375,'Daily Update'!$A:$A,'Daily Update'!$D:$D),""))</f>
        <v/>
      </c>
      <c r="I375" s="181">
        <f>IF($B375="","",IFERROR(XLOOKUP($B375,'Daily Update'!$A:$A,'Daily Update'!$E:$E),""))</f>
        <v/>
      </c>
      <c r="J375" s="181">
        <f>IF($B375="","",IFERROR(XLOOKUP($B375,'Daily Update'!$A:$A,'Daily Update'!$F:$F),""))</f>
        <v/>
      </c>
      <c r="K375" s="181">
        <f>IF($B375="","",IFERROR(XLOOKUP($B375,'Daily Update'!$A:$A,'Daily Update'!$G:$G),""))</f>
        <v/>
      </c>
      <c r="L375" s="181">
        <f>IF($B375="","",IFERROR(XLOOKUP($B375,'Daily Update'!$A:$A,'Daily Update'!$H:$H),""))</f>
        <v/>
      </c>
      <c r="M375" s="181">
        <f>IF($B375="","",IFERROR(XLOOKUP($B375,'Daily Update'!$A:$A,'Daily Update'!$I:$I),""))</f>
        <v/>
      </c>
      <c r="N375" s="181">
        <f>IF($B375="","",IFERROR(XLOOKUP($B375,'Daily Update'!$A:$A,'Daily Update'!$J:$J),""))</f>
        <v/>
      </c>
    </row>
    <row r="376">
      <c r="A376" t="inlineStr">
        <is>
          <t>Option On State Street® Spdr® S&amp;P 500® Etf Apr27</t>
        </is>
      </c>
      <c r="C376" s="11" t="n">
        <v>0.1591771972573242</v>
      </c>
      <c r="D376" s="2" t="inlineStr">
        <is>
          <t>XPAY</t>
        </is>
      </c>
      <c r="E376" s="11" t="inlineStr">
        <is>
          <t>Brokerage</t>
        </is>
      </c>
      <c r="F376" s="11" t="n"/>
      <c r="G376" s="182">
        <f>IF($B376="","",IFERROR(XLOOKUP($B376,'Daily Update'!$A:$A,'Daily Update'!$C:$C),""))</f>
        <v/>
      </c>
      <c r="H376" s="183">
        <f>IF($B376="","",IFERROR(XLOOKUP($B376,'Daily Update'!$A:$A,'Daily Update'!$D:$D),""))</f>
        <v/>
      </c>
      <c r="I376" s="181">
        <f>IF($B376="","",IFERROR(XLOOKUP($B376,'Daily Update'!$A:$A,'Daily Update'!$E:$E),""))</f>
        <v/>
      </c>
      <c r="J376" s="181">
        <f>IF($B376="","",IFERROR(XLOOKUP($B376,'Daily Update'!$A:$A,'Daily Update'!$F:$F),""))</f>
        <v/>
      </c>
      <c r="K376" s="181">
        <f>IF($B376="","",IFERROR(XLOOKUP($B376,'Daily Update'!$A:$A,'Daily Update'!$G:$G),""))</f>
        <v/>
      </c>
      <c r="L376" s="181">
        <f>IF($B376="","",IFERROR(XLOOKUP($B376,'Daily Update'!$A:$A,'Daily Update'!$H:$H),""))</f>
        <v/>
      </c>
      <c r="M376" s="181">
        <f>IF($B376="","",IFERROR(XLOOKUP($B376,'Daily Update'!$A:$A,'Daily Update'!$I:$I),""))</f>
        <v/>
      </c>
      <c r="N376" s="181">
        <f>IF($B376="","",IFERROR(XLOOKUP($B376,'Daily Update'!$A:$A,'Daily Update'!$J:$J),""))</f>
        <v/>
      </c>
    </row>
    <row r="377">
      <c r="A377" t="inlineStr">
        <is>
          <t>Option On State Street® Spdr® S&amp;P 500® Etf Mar27</t>
        </is>
      </c>
      <c r="C377" s="11" t="n">
        <v>0.1611038703462345</v>
      </c>
      <c r="D377" s="2" t="inlineStr">
        <is>
          <t>XPAY</t>
        </is>
      </c>
      <c r="E377" s="11" t="inlineStr">
        <is>
          <t>Brokerage</t>
        </is>
      </c>
      <c r="F377" s="11" t="n"/>
      <c r="G377" s="182">
        <f>IF($B377="","",IFERROR(XLOOKUP($B377,'Daily Update'!$A:$A,'Daily Update'!$C:$C),""))</f>
        <v/>
      </c>
      <c r="H377" s="183">
        <f>IF($B377="","",IFERROR(XLOOKUP($B377,'Daily Update'!$A:$A,'Daily Update'!$D:$D),""))</f>
        <v/>
      </c>
      <c r="I377" s="181">
        <f>IF($B377="","",IFERROR(XLOOKUP($B377,'Daily Update'!$A:$A,'Daily Update'!$E:$E),""))</f>
        <v/>
      </c>
      <c r="J377" s="181">
        <f>IF($B377="","",IFERROR(XLOOKUP($B377,'Daily Update'!$A:$A,'Daily Update'!$F:$F),""))</f>
        <v/>
      </c>
      <c r="K377" s="181">
        <f>IF($B377="","",IFERROR(XLOOKUP($B377,'Daily Update'!$A:$A,'Daily Update'!$G:$G),""))</f>
        <v/>
      </c>
      <c r="L377" s="181">
        <f>IF($B377="","",IFERROR(XLOOKUP($B377,'Daily Update'!$A:$A,'Daily Update'!$H:$H),""))</f>
        <v/>
      </c>
      <c r="M377" s="181">
        <f>IF($B377="","",IFERROR(XLOOKUP($B377,'Daily Update'!$A:$A,'Daily Update'!$I:$I),""))</f>
        <v/>
      </c>
      <c r="N377" s="181">
        <f>IF($B377="","",IFERROR(XLOOKUP($B377,'Daily Update'!$A:$A,'Daily Update'!$J:$J),""))</f>
        <v/>
      </c>
    </row>
    <row r="378">
      <c r="A378" t="inlineStr">
        <is>
          <t>Option On State Street® Spdr® S&amp;P 500® Etf Dec26</t>
        </is>
      </c>
      <c r="C378" s="11" t="n">
        <v>0.1696605655352185</v>
      </c>
      <c r="D378" s="2" t="inlineStr">
        <is>
          <t>XPAY</t>
        </is>
      </c>
      <c r="E378" s="11" t="inlineStr">
        <is>
          <t>Brokerage</t>
        </is>
      </c>
      <c r="F378" s="11" t="n"/>
      <c r="G378" s="182">
        <f>IF($B378="","",IFERROR(XLOOKUP($B378,'Daily Update'!$A:$A,'Daily Update'!$C:$C),""))</f>
        <v/>
      </c>
      <c r="H378" s="183">
        <f>IF($B378="","",IFERROR(XLOOKUP($B378,'Daily Update'!$A:$A,'Daily Update'!$D:$D),""))</f>
        <v/>
      </c>
      <c r="I378" s="181">
        <f>IF($B378="","",IFERROR(XLOOKUP($B378,'Daily Update'!$A:$A,'Daily Update'!$E:$E),""))</f>
        <v/>
      </c>
      <c r="J378" s="181">
        <f>IF($B378="","",IFERROR(XLOOKUP($B378,'Daily Update'!$A:$A,'Daily Update'!$F:$F),""))</f>
        <v/>
      </c>
      <c r="K378" s="181">
        <f>IF($B378="","",IFERROR(XLOOKUP($B378,'Daily Update'!$A:$A,'Daily Update'!$G:$G),""))</f>
        <v/>
      </c>
      <c r="L378" s="181">
        <f>IF($B378="","",IFERROR(XLOOKUP($B378,'Daily Update'!$A:$A,'Daily Update'!$H:$H),""))</f>
        <v/>
      </c>
      <c r="M378" s="181">
        <f>IF($B378="","",IFERROR(XLOOKUP($B378,'Daily Update'!$A:$A,'Daily Update'!$I:$I),""))</f>
        <v/>
      </c>
      <c r="N378" s="181">
        <f>IF($B378="","",IFERROR(XLOOKUP($B378,'Daily Update'!$A:$A,'Daily Update'!$J:$J),""))</f>
        <v/>
      </c>
    </row>
    <row r="379">
      <c r="A379" t="inlineStr">
        <is>
          <t>Option On State Street® Spdr® S&amp;P 500® Etf Feb27</t>
        </is>
      </c>
      <c r="C379" s="11" t="n">
        <v>0.1928373094576982</v>
      </c>
      <c r="D379" s="2" t="inlineStr">
        <is>
          <t>XPAY</t>
        </is>
      </c>
      <c r="E379" s="11" t="inlineStr">
        <is>
          <t>Brokerage</t>
        </is>
      </c>
      <c r="F379" s="11" t="n"/>
      <c r="G379" s="182">
        <f>IF($B379="","",IFERROR(XLOOKUP($B379,'Daily Update'!$A:$A,'Daily Update'!$C:$C),""))</f>
        <v/>
      </c>
      <c r="H379" s="183">
        <f>IF($B379="","",IFERROR(XLOOKUP($B379,'Daily Update'!$A:$A,'Daily Update'!$D:$D),""))</f>
        <v/>
      </c>
      <c r="I379" s="181">
        <f>IF($B379="","",IFERROR(XLOOKUP($B379,'Daily Update'!$A:$A,'Daily Update'!$E:$E),""))</f>
        <v/>
      </c>
      <c r="J379" s="181">
        <f>IF($B379="","",IFERROR(XLOOKUP($B379,'Daily Update'!$A:$A,'Daily Update'!$F:$F),""))</f>
        <v/>
      </c>
      <c r="K379" s="181">
        <f>IF($B379="","",IFERROR(XLOOKUP($B379,'Daily Update'!$A:$A,'Daily Update'!$G:$G),""))</f>
        <v/>
      </c>
      <c r="L379" s="181">
        <f>IF($B379="","",IFERROR(XLOOKUP($B379,'Daily Update'!$A:$A,'Daily Update'!$H:$H),""))</f>
        <v/>
      </c>
      <c r="M379" s="181">
        <f>IF($B379="","",IFERROR(XLOOKUP($B379,'Daily Update'!$A:$A,'Daily Update'!$I:$I),""))</f>
        <v/>
      </c>
      <c r="N379" s="181">
        <f>IF($B379="","",IFERROR(XLOOKUP($B379,'Daily Update'!$A:$A,'Daily Update'!$J:$J),""))</f>
        <v/>
      </c>
    </row>
    <row r="380">
      <c r="G380" s="182">
        <f>IF($B380="","",IFERROR(XLOOKUP($B380,'Daily Update'!$A:$A,'Daily Update'!$C:$C),""))</f>
        <v/>
      </c>
      <c r="H380" s="183">
        <f>IF($B380="","",IFERROR(XLOOKUP($B380,'Daily Update'!$A:$A,'Daily Update'!$D:$D),""))</f>
        <v/>
      </c>
      <c r="I380" s="181">
        <f>IF($B380="","",IFERROR(XLOOKUP($B380,'Daily Update'!$A:$A,'Daily Update'!$E:$E),""))</f>
        <v/>
      </c>
      <c r="J380" s="181">
        <f>IF($B380="","",IFERROR(XLOOKUP($B380,'Daily Update'!$A:$A,'Daily Update'!$F:$F),""))</f>
        <v/>
      </c>
      <c r="K380" s="181">
        <f>IF($B380="","",IFERROR(XLOOKUP($B380,'Daily Update'!$A:$A,'Daily Update'!$G:$G),""))</f>
        <v/>
      </c>
      <c r="L380" s="181">
        <f>IF($B380="","",IFERROR(XLOOKUP($B380,'Daily Update'!$A:$A,'Daily Update'!$H:$H),""))</f>
        <v/>
      </c>
      <c r="M380" s="181">
        <f>IF($B380="","",IFERROR(XLOOKUP($B380,'Daily Update'!$A:$A,'Daily Update'!$I:$I),""))</f>
        <v/>
      </c>
      <c r="N380" s="181">
        <f>IF($B380="","",IFERROR(XLOOKUP($B380,'Daily Update'!$A:$A,'Daily Update'!$J:$J),""))</f>
        <v/>
      </c>
    </row>
    <row r="381">
      <c r="A381" s="38" t="inlineStr">
        <is>
          <t>TIDAL TRUST II YIELDMAX MAGNIFICENT 7 FUND OF OPTION INCOME ETFS</t>
        </is>
      </c>
      <c r="B381" s="8" t="inlineStr">
        <is>
          <t>YMAG</t>
        </is>
      </c>
      <c r="C381" s="7">
        <f>SUM(C382:C390)</f>
        <v/>
      </c>
      <c r="D381" s="8" t="inlineStr">
        <is>
          <t>YMAG</t>
        </is>
      </c>
      <c r="E381" s="9" t="inlineStr">
        <is>
          <t>Brokerage</t>
        </is>
      </c>
      <c r="F381" s="9" t="n"/>
      <c r="G381" s="182" t="n">
        <v>12.8</v>
      </c>
      <c r="H381" s="183" t="n">
        <v>1540400</v>
      </c>
      <c r="I381" s="181" t="n">
        <v>-0.01081912</v>
      </c>
      <c r="J381" s="181" t="n">
        <v>-0.00698217</v>
      </c>
      <c r="K381" s="181" t="n">
        <v>0.02584333</v>
      </c>
      <c r="L381" s="181" t="n">
        <v>0.2850152</v>
      </c>
      <c r="M381" s="181" t="n">
        <v>0.48669012</v>
      </c>
      <c r="N381" s="181" t="n"/>
    </row>
    <row r="382">
      <c r="A382" t="inlineStr">
        <is>
          <t xml:space="preserve">First American Government Obligs X </t>
        </is>
      </c>
      <c r="B382" s="11" t="inlineStr">
        <is>
          <t>FGXXX</t>
        </is>
      </c>
      <c r="C382" s="4" t="n">
        <v>0.005</v>
      </c>
      <c r="D382" s="2" t="inlineStr">
        <is>
          <t>YMAG</t>
        </is>
      </c>
      <c r="E382" s="11" t="inlineStr">
        <is>
          <t>Brokerage</t>
        </is>
      </c>
      <c r="F382" s="11" t="n"/>
      <c r="G382" s="182" t="n">
        <v>1</v>
      </c>
      <c r="H382" s="183" t="n"/>
      <c r="I382" s="181" t="n"/>
      <c r="J382" s="181" t="n"/>
      <c r="K382" s="181" t="n"/>
      <c r="L382" s="181" t="n"/>
      <c r="M382" s="181" t="n"/>
      <c r="N382" s="181" t="n"/>
    </row>
    <row r="383">
      <c r="A383" t="inlineStr">
        <is>
          <t xml:space="preserve">YieldMax META Option Income Strategy ETF </t>
        </is>
      </c>
      <c r="B383" s="11" t="inlineStr">
        <is>
          <t>FBY</t>
        </is>
      </c>
      <c r="C383" s="4" t="n">
        <v>0.1284</v>
      </c>
      <c r="D383" s="2" t="inlineStr">
        <is>
          <t>YMAG</t>
        </is>
      </c>
      <c r="E383" s="11" t="inlineStr">
        <is>
          <t>Brokerage</t>
        </is>
      </c>
      <c r="F383" s="11" t="n"/>
      <c r="G383" s="182" t="n">
        <v>9.99</v>
      </c>
      <c r="H383" s="183" t="n">
        <v>113700</v>
      </c>
      <c r="I383" s="181" t="n">
        <v>-0.01089115</v>
      </c>
      <c r="J383" s="181" t="n">
        <v>0.00491084</v>
      </c>
      <c r="K383" s="181" t="n">
        <v>-0.08984502</v>
      </c>
      <c r="L383" s="181" t="n">
        <v>-0.05066541</v>
      </c>
      <c r="M383" s="181" t="n">
        <v>0.18333711</v>
      </c>
      <c r="N383" s="181" t="n"/>
    </row>
    <row r="384">
      <c r="A384" t="inlineStr">
        <is>
          <t xml:space="preserve">YieldMax NVDA Option Income Strategy ETF </t>
        </is>
      </c>
      <c r="B384" s="11" t="inlineStr">
        <is>
          <t>NVDY</t>
        </is>
      </c>
      <c r="C384" s="4" t="n">
        <v>0.1372</v>
      </c>
      <c r="D384" s="2" t="inlineStr">
        <is>
          <t>YMAG</t>
        </is>
      </c>
      <c r="E384" s="11" t="inlineStr">
        <is>
          <t>Brokerage</t>
        </is>
      </c>
      <c r="F384" s="11" t="n"/>
      <c r="G384" s="182" t="n">
        <v>14.11</v>
      </c>
      <c r="H384" s="183" t="n">
        <v>3351400</v>
      </c>
      <c r="I384" s="181" t="n">
        <v>-0.00633804</v>
      </c>
      <c r="J384" s="181" t="n">
        <v>-0.00711949</v>
      </c>
      <c r="K384" s="181" t="n">
        <v>0.05203703</v>
      </c>
      <c r="L384" s="181" t="n">
        <v>0.55688815</v>
      </c>
      <c r="M384" s="181" t="n">
        <v>0.9529467</v>
      </c>
      <c r="N384" s="181" t="n"/>
    </row>
    <row r="385">
      <c r="A385" t="inlineStr">
        <is>
          <t xml:space="preserve">YieldMax MSFT Option Income Strategy ETF </t>
        </is>
      </c>
      <c r="B385" s="11" t="inlineStr">
        <is>
          <t>MSFO</t>
        </is>
      </c>
      <c r="C385" s="4" t="n">
        <v>0.1376</v>
      </c>
      <c r="D385" s="2" t="inlineStr">
        <is>
          <t>YMAG</t>
        </is>
      </c>
      <c r="E385" s="11" t="inlineStr">
        <is>
          <t>Brokerage</t>
        </is>
      </c>
      <c r="F385" s="11" t="n"/>
      <c r="G385" s="182" t="n">
        <v>12.13</v>
      </c>
      <c r="H385" s="183" t="n">
        <v>180800</v>
      </c>
      <c r="I385" s="181" t="n">
        <v>-0.00979591</v>
      </c>
      <c r="J385" s="181" t="n">
        <v>0.01876508</v>
      </c>
      <c r="K385" s="181" t="n">
        <v>-0.00903369</v>
      </c>
      <c r="L385" s="181" t="n">
        <v>-0.04140197</v>
      </c>
      <c r="M385" s="181" t="n">
        <v>0.01782225</v>
      </c>
      <c r="N385" s="181" t="n"/>
    </row>
    <row r="386">
      <c r="A386" t="inlineStr">
        <is>
          <t xml:space="preserve">YieldMax TSLA Option Income Strategy ETF </t>
        </is>
      </c>
      <c r="B386" s="11" t="inlineStr">
        <is>
          <t>TSLY</t>
        </is>
      </c>
      <c r="C386" s="4" t="n">
        <v>0.1382</v>
      </c>
      <c r="D386" s="2" t="inlineStr">
        <is>
          <t>YMAG</t>
        </is>
      </c>
      <c r="E386" s="11" t="inlineStr">
        <is>
          <t>Brokerage</t>
        </is>
      </c>
      <c r="F386" s="11" t="n"/>
      <c r="G386" s="182" t="n">
        <v>29.28</v>
      </c>
      <c r="H386" s="183" t="n">
        <v>1457100</v>
      </c>
      <c r="I386" s="181" t="n">
        <v>-0.01147874</v>
      </c>
      <c r="J386" s="181" t="n">
        <v>-0.05891728</v>
      </c>
      <c r="K386" s="181" t="n">
        <v>-0.00420641</v>
      </c>
      <c r="L386" s="181" t="n">
        <v>0.22142492</v>
      </c>
      <c r="M386" s="181" t="n">
        <v>0.72674671</v>
      </c>
      <c r="N386" s="181" t="n"/>
    </row>
    <row r="387">
      <c r="A387" t="inlineStr">
        <is>
          <t xml:space="preserve">YieldMax AAPL Option Income Strategy ETF </t>
        </is>
      </c>
      <c r="B387" s="11" t="inlineStr">
        <is>
          <t>APLY</t>
        </is>
      </c>
      <c r="C387" s="4" t="n">
        <v>0.141</v>
      </c>
      <c r="D387" s="2" t="inlineStr">
        <is>
          <t>YMAG</t>
        </is>
      </c>
      <c r="E387" s="11" t="inlineStr">
        <is>
          <t>Brokerage</t>
        </is>
      </c>
      <c r="F387" s="11" t="n"/>
      <c r="G387" s="182" t="n">
        <v>12.61</v>
      </c>
      <c r="H387" s="183" t="n">
        <v>78400</v>
      </c>
      <c r="I387" s="181" t="n">
        <v>0.00158852</v>
      </c>
      <c r="J387" s="181" t="n">
        <v>0.009626869999999999</v>
      </c>
      <c r="K387" s="181" t="n">
        <v>0.08286598000000001</v>
      </c>
      <c r="L387" s="181" t="n">
        <v>0.29771401</v>
      </c>
      <c r="M387" s="181" t="n">
        <v>0.32796775</v>
      </c>
      <c r="N387" s="181" t="n"/>
    </row>
    <row r="388">
      <c r="A388" t="inlineStr">
        <is>
          <t xml:space="preserve">YieldMax AMZN Option Income Strategy ETF </t>
        </is>
      </c>
      <c r="B388" s="11" t="inlineStr">
        <is>
          <t>AMZY</t>
        </is>
      </c>
      <c r="C388" s="4" t="n">
        <v>0.1432</v>
      </c>
      <c r="D388" s="2" t="inlineStr">
        <is>
          <t>YMAG</t>
        </is>
      </c>
      <c r="E388" s="11" t="inlineStr">
        <is>
          <t>Brokerage</t>
        </is>
      </c>
      <c r="F388" s="11" t="n"/>
      <c r="G388" s="182" t="n">
        <v>11.94</v>
      </c>
      <c r="H388" s="183" t="n">
        <v>1360900</v>
      </c>
      <c r="I388" s="181" t="n">
        <v>-0.02131149</v>
      </c>
      <c r="J388" s="181" t="n">
        <v>-0.02349417</v>
      </c>
      <c r="K388" s="181" t="n">
        <v>0.02301732</v>
      </c>
      <c r="L388" s="181" t="n">
        <v>0.18615943</v>
      </c>
      <c r="M388" s="181" t="n">
        <v>0.27268296</v>
      </c>
      <c r="N388" s="181" t="n"/>
    </row>
    <row r="389">
      <c r="A389" t="inlineStr">
        <is>
          <t xml:space="preserve">YieldMax GOOGL Option Income Stgy ETF </t>
        </is>
      </c>
      <c r="B389" s="11" t="inlineStr">
        <is>
          <t>GOOY</t>
        </is>
      </c>
      <c r="C389" s="4" t="n">
        <v>0.1558</v>
      </c>
      <c r="D389" s="2" t="inlineStr">
        <is>
          <t>YMAG</t>
        </is>
      </c>
      <c r="E389" s="11" t="inlineStr">
        <is>
          <t>Brokerage</t>
        </is>
      </c>
      <c r="F389" s="11" t="n"/>
      <c r="G389" s="182" t="n">
        <v>14.96</v>
      </c>
      <c r="H389" s="183" t="n">
        <v>1551100</v>
      </c>
      <c r="I389" s="181" t="n">
        <v>-0.01837269</v>
      </c>
      <c r="J389" s="181" t="n">
        <v>0.00371575</v>
      </c>
      <c r="K389" s="181" t="n">
        <v>0.11501621</v>
      </c>
      <c r="L389" s="181" t="n">
        <v>0.98992826</v>
      </c>
      <c r="M389" s="181" t="n">
        <v>0.88082642</v>
      </c>
      <c r="N389" s="181" t="n"/>
    </row>
    <row r="390">
      <c r="A390" t="inlineStr">
        <is>
          <t>Other</t>
        </is>
      </c>
      <c r="B390" t="inlineStr">
        <is>
          <t>OTH</t>
        </is>
      </c>
      <c r="C390" s="4">
        <f>100%-(SUM(C382:C389))</f>
        <v/>
      </c>
      <c r="D390" s="2" t="inlineStr">
        <is>
          <t>YMAG</t>
        </is>
      </c>
      <c r="E390" s="11" t="inlineStr">
        <is>
          <t>Brokerage</t>
        </is>
      </c>
      <c r="F390" s="11" t="n"/>
      <c r="G390" s="182">
        <f>IF($B390="","",IFERROR(XLOOKUP($B390,'Daily Update'!$A:$A,'Daily Update'!$C:$C),""))</f>
        <v/>
      </c>
      <c r="H390" s="183">
        <f>IF($B390="","",IFERROR(XLOOKUP($B390,'Daily Update'!$A:$A,'Daily Update'!$D:$D),""))</f>
        <v/>
      </c>
      <c r="I390" s="181">
        <f>IF($B390="","",IFERROR(XLOOKUP($B390,'Daily Update'!$A:$A,'Daily Update'!$E:$E),""))</f>
        <v/>
      </c>
      <c r="J390" s="181">
        <f>IF($B390="","",IFERROR(XLOOKUP($B390,'Daily Update'!$A:$A,'Daily Update'!$F:$F),""))</f>
        <v/>
      </c>
      <c r="K390" s="181">
        <f>IF($B390="","",IFERROR(XLOOKUP($B390,'Daily Update'!$A:$A,'Daily Update'!$G:$G),""))</f>
        <v/>
      </c>
      <c r="L390" s="181">
        <f>IF($B390="","",IFERROR(XLOOKUP($B390,'Daily Update'!$A:$A,'Daily Update'!$H:$H),""))</f>
        <v/>
      </c>
      <c r="M390" s="181">
        <f>IF($B390="","",IFERROR(XLOOKUP($B390,'Daily Update'!$A:$A,'Daily Update'!$I:$I),""))</f>
        <v/>
      </c>
      <c r="N390" s="181">
        <f>IF($B390="","",IFERROR(XLOOKUP($B390,'Daily Update'!$A:$A,'Daily Update'!$J:$J),""))</f>
        <v/>
      </c>
    </row>
    <row r="391">
      <c r="G391" s="182">
        <f>IF($B391="","",IFERROR(XLOOKUP($B391,'Daily Update'!$A:$A,'Daily Update'!$C:$C),""))</f>
        <v/>
      </c>
      <c r="H391" s="183">
        <f>IF($B391="","",IFERROR(XLOOKUP($B391,'Daily Update'!$A:$A,'Daily Update'!$D:$D),""))</f>
        <v/>
      </c>
      <c r="I391" s="181">
        <f>IF($B391="","",IFERROR(XLOOKUP($B391,'Daily Update'!$A:$A,'Daily Update'!$E:$E),""))</f>
        <v/>
      </c>
      <c r="J391" s="181">
        <f>IF($B391="","",IFERROR(XLOOKUP($B391,'Daily Update'!$A:$A,'Daily Update'!$F:$F),""))</f>
        <v/>
      </c>
      <c r="K391" s="181">
        <f>IF($B391="","",IFERROR(XLOOKUP($B391,'Daily Update'!$A:$A,'Daily Update'!$G:$G),""))</f>
        <v/>
      </c>
      <c r="L391" s="181">
        <f>IF($B391="","",IFERROR(XLOOKUP($B391,'Daily Update'!$A:$A,'Daily Update'!$H:$H),""))</f>
        <v/>
      </c>
      <c r="M391" s="181">
        <f>IF($B391="","",IFERROR(XLOOKUP($B391,'Daily Update'!$A:$A,'Daily Update'!$I:$I),""))</f>
        <v/>
      </c>
      <c r="N391" s="181">
        <f>IF($B391="","",IFERROR(XLOOKUP($B391,'Daily Update'!$A:$A,'Daily Update'!$J:$J),""))</f>
        <v/>
      </c>
    </row>
    <row r="392">
      <c r="A392" s="38" t="inlineStr">
        <is>
          <t xml:space="preserve">Fidelity Phillips Street Trust - Fidelity Cash Reserves </t>
        </is>
      </c>
      <c r="B392" s="38" t="inlineStr">
        <is>
          <t>FDRXX</t>
        </is>
      </c>
      <c r="C392" s="7" t="n">
        <v>1</v>
      </c>
      <c r="D392" s="8" t="inlineStr">
        <is>
          <t>FDRXX</t>
        </is>
      </c>
      <c r="E392" s="9" t="inlineStr">
        <is>
          <t>Brokerage</t>
        </is>
      </c>
      <c r="F392" s="9" t="n"/>
      <c r="G392" s="182" t="n">
        <v>1</v>
      </c>
      <c r="H392" s="183" t="n"/>
      <c r="I392" s="181" t="n"/>
      <c r="J392" s="181" t="n"/>
      <c r="K392" s="181" t="n"/>
      <c r="L392" s="181" t="n"/>
      <c r="M392" s="181" t="n"/>
      <c r="N392" s="18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cols>
    <col width="12" customWidth="1" style="10" min="1" max="1"/>
    <col width="32" customWidth="1" style="10" min="2" max="2"/>
    <col width="14" customWidth="1" style="10" min="3" max="3"/>
    <col width="14" customWidth="1" style="10" min="4" max="4"/>
    <col width="14" customWidth="1" style="10" min="5" max="5"/>
    <col width="14" customWidth="1" style="10" min="6" max="6"/>
    <col width="15" customWidth="1" style="10" min="7" max="7"/>
    <col width="15" customWidth="1" style="10" min="8" max="8"/>
    <col width="15" customWidth="1" style="10" min="9" max="9"/>
    <col width="15" customWidth="1" style="10" min="10" max="10"/>
    <col width="14" customWidth="1" style="10" min="11" max="11"/>
    <col width="28" customWidth="1" style="10" min="12" max="12"/>
  </cols>
  <sheetData>
    <row r="1" ht="28" customHeight="1" s="10">
      <c r="A1" s="37" t="inlineStr">
        <is>
          <t>Daily ETF / Holding Update Interface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</row>
    <row r="2">
      <c r="A2" s="38" t="inlineStr">
        <is>
          <t>Workbook last updated:</t>
        </is>
      </c>
      <c r="B2" s="184" t="n">
        <v>46162</v>
      </c>
    </row>
    <row r="3">
      <c r="A3" s="51" t="inlineStr">
        <is>
          <t>Enter or paste today's market data into the yellow columns. Sheet1 columns G:N will update automatically by matching each row's SYMBOL. Leave unavailable fields blank.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</row>
    <row r="5">
      <c r="A5" s="71" t="inlineStr">
        <is>
          <t>Ticker</t>
        </is>
      </c>
      <c r="B5" s="72" t="inlineStr">
        <is>
          <t>Security / ETF Name</t>
        </is>
      </c>
      <c r="C5" s="72" t="inlineStr">
        <is>
          <t>Current Price</t>
        </is>
      </c>
      <c r="D5" s="72" t="inlineStr">
        <is>
          <t>Volume</t>
        </is>
      </c>
      <c r="E5" s="72" t="inlineStr">
        <is>
          <t>1 Day Change %</t>
        </is>
      </c>
      <c r="F5" s="72" t="inlineStr">
        <is>
          <t>5 Day Change %</t>
        </is>
      </c>
      <c r="G5" s="72" t="inlineStr">
        <is>
          <t>1 Mos Change %</t>
        </is>
      </c>
      <c r="H5" s="72" t="inlineStr">
        <is>
          <t>1 Year Change %</t>
        </is>
      </c>
      <c r="I5" s="72" t="inlineStr">
        <is>
          <t>2 Year Change %</t>
        </is>
      </c>
      <c r="J5" s="72" t="inlineStr">
        <is>
          <t>5 Year Change %</t>
        </is>
      </c>
      <c r="K5" s="72" t="inlineStr">
        <is>
          <t>Last Updated</t>
        </is>
      </c>
      <c r="L5" s="73" t="inlineStr">
        <is>
          <t>Source / Notes</t>
        </is>
      </c>
    </row>
    <row r="6">
      <c r="A6" s="74" t="inlineStr">
        <is>
          <t>BRKB</t>
        </is>
      </c>
      <c r="B6" s="105" t="inlineStr">
        <is>
          <t>Berkshire Hathaway Inc</t>
        </is>
      </c>
      <c r="C6" s="185" t="n">
        <v>480.46</v>
      </c>
      <c r="D6" s="186" t="n">
        <v>5586100</v>
      </c>
      <c r="E6" s="187" t="n">
        <v>-0.01621691</v>
      </c>
      <c r="F6" s="187" t="n">
        <v>-0.00927912</v>
      </c>
      <c r="G6" s="187" t="n">
        <v>0.01238991</v>
      </c>
      <c r="H6" s="187" t="n">
        <v>-0.06231586</v>
      </c>
      <c r="I6" s="187" t="n">
        <v>0.15234803</v>
      </c>
      <c r="J6" s="187" t="n">
        <v>0.67565296</v>
      </c>
      <c r="K6" s="188" t="inlineStr">
        <is>
          <t>2026-05-20 04:13</t>
        </is>
      </c>
      <c r="L6" s="109" t="inlineStr">
        <is>
          <t>yfinance</t>
        </is>
      </c>
    </row>
    <row r="7">
      <c r="A7" s="74" t="inlineStr">
        <is>
          <t>HDV</t>
        </is>
      </c>
      <c r="B7" s="105" t="inlineStr">
        <is>
          <t>ISHARES CORE HIGH DIVIDEND ETF</t>
        </is>
      </c>
      <c r="C7" s="185" t="n">
        <v>27.71</v>
      </c>
      <c r="D7" s="186" t="n">
        <v>2370100</v>
      </c>
      <c r="E7" s="187" t="n">
        <v>0.00471353</v>
      </c>
      <c r="F7" s="187" t="n">
        <v>0.01874994</v>
      </c>
      <c r="G7" s="187" t="n">
        <v>0.03441836</v>
      </c>
      <c r="H7" s="187" t="n">
        <v>0.22412885</v>
      </c>
      <c r="I7" s="187" t="n">
        <v>0.32704534</v>
      </c>
      <c r="J7" s="187" t="n">
        <v>0.68172185</v>
      </c>
      <c r="K7" s="188" t="inlineStr">
        <is>
          <t>2026-05-20 04:13</t>
        </is>
      </c>
      <c r="L7" s="109" t="inlineStr">
        <is>
          <t>yfinance</t>
        </is>
      </c>
    </row>
    <row r="8">
      <c r="A8" s="74" t="inlineStr">
        <is>
          <t>MRK</t>
        </is>
      </c>
      <c r="B8" s="105" t="inlineStr">
        <is>
          <t>Merck &amp; Co Inc</t>
        </is>
      </c>
      <c r="C8" s="185" t="n">
        <v>114.24</v>
      </c>
      <c r="D8" s="186" t="n">
        <v>7550400</v>
      </c>
      <c r="E8" s="187" t="n">
        <v>0.01492538</v>
      </c>
      <c r="F8" s="187" t="n">
        <v>0.01664141</v>
      </c>
      <c r="G8" s="187" t="n">
        <v>-0.04056439</v>
      </c>
      <c r="H8" s="187" t="n">
        <v>0.53295262</v>
      </c>
      <c r="I8" s="187" t="n">
        <v>-0.07082231</v>
      </c>
      <c r="J8" s="187" t="n">
        <v>0.75907851</v>
      </c>
      <c r="K8" s="188" t="inlineStr">
        <is>
          <t>2026-05-20 04:13</t>
        </is>
      </c>
      <c r="L8" s="109" t="inlineStr">
        <is>
          <t>yfinance</t>
        </is>
      </c>
    </row>
    <row r="9">
      <c r="A9" s="74" t="inlineStr">
        <is>
          <t>PGR</t>
        </is>
      </c>
      <c r="B9" s="105" t="inlineStr">
        <is>
          <t>Progressive Corp</t>
        </is>
      </c>
      <c r="C9" s="185" t="n">
        <v>202.87</v>
      </c>
      <c r="D9" s="186" t="n">
        <v>2577200</v>
      </c>
      <c r="E9" s="187" t="n">
        <v>-0.00553924</v>
      </c>
      <c r="F9" s="187" t="n">
        <v>0.02242716</v>
      </c>
      <c r="G9" s="187" t="n">
        <v>0.0014315</v>
      </c>
      <c r="H9" s="187" t="n">
        <v>-0.25049085</v>
      </c>
      <c r="I9" s="187" t="n">
        <v>0.05375258</v>
      </c>
      <c r="J9" s="187" t="n">
        <v>1.22353902</v>
      </c>
      <c r="K9" s="188" t="inlineStr">
        <is>
          <t>2026-05-20 04:13</t>
        </is>
      </c>
      <c r="L9" s="109" t="inlineStr">
        <is>
          <t>yfinance</t>
        </is>
      </c>
    </row>
    <row r="10">
      <c r="A10" s="74" t="inlineStr">
        <is>
          <t>KO</t>
        </is>
      </c>
      <c r="B10" s="105" t="inlineStr">
        <is>
          <t>Coca-Cola Co</t>
        </is>
      </c>
      <c r="C10" s="185" t="n">
        <v>81.92</v>
      </c>
      <c r="D10" s="186" t="n">
        <v>16587900</v>
      </c>
      <c r="E10" s="187" t="n">
        <v>0.00886701</v>
      </c>
      <c r="F10" s="187" t="n">
        <v>0.02361614</v>
      </c>
      <c r="G10" s="187" t="n">
        <v>0.08159494</v>
      </c>
      <c r="H10" s="187" t="n">
        <v>0.1718999</v>
      </c>
      <c r="I10" s="187" t="n">
        <v>0.37737398</v>
      </c>
      <c r="J10" s="187" t="n">
        <v>0.73981008</v>
      </c>
      <c r="K10" s="188" t="inlineStr">
        <is>
          <t>2026-05-20 04:13</t>
        </is>
      </c>
      <c r="L10" s="109" t="inlineStr">
        <is>
          <t>yfinance</t>
        </is>
      </c>
    </row>
    <row r="11">
      <c r="A11" s="74" t="inlineStr">
        <is>
          <t>HD</t>
        </is>
      </c>
      <c r="B11" s="105" t="inlineStr">
        <is>
          <t>The Home Depot Inc</t>
        </is>
      </c>
      <c r="C11" s="185" t="n">
        <v>302.44</v>
      </c>
      <c r="D11" s="186" t="n">
        <v>8682700</v>
      </c>
      <c r="E11" s="187" t="n">
        <v>0.008772240000000001</v>
      </c>
      <c r="F11" s="187" t="n">
        <v>-0.0258326</v>
      </c>
      <c r="G11" s="187" t="n">
        <v>-0.13440181</v>
      </c>
      <c r="H11" s="187" t="n">
        <v>-0.18265385</v>
      </c>
      <c r="I11" s="187" t="n">
        <v>-0.07674018000000001</v>
      </c>
      <c r="J11" s="187" t="n">
        <v>0.08184457000000001</v>
      </c>
      <c r="K11" s="188" t="inlineStr">
        <is>
          <t>2026-05-20 04:13</t>
        </is>
      </c>
      <c r="L11" s="109" t="inlineStr">
        <is>
          <t>yfinance</t>
        </is>
      </c>
    </row>
    <row r="12">
      <c r="A12" s="74" t="inlineStr">
        <is>
          <t>PM</t>
        </is>
      </c>
      <c r="B12" s="105" t="inlineStr">
        <is>
          <t>Philip Morris International Inc</t>
        </is>
      </c>
      <c r="C12" s="185" t="n">
        <v>191.57</v>
      </c>
      <c r="D12" s="186" t="n">
        <v>5741500</v>
      </c>
      <c r="E12" s="187" t="n">
        <v>0.00036557</v>
      </c>
      <c r="F12" s="187" t="n">
        <v>0.02482221</v>
      </c>
      <c r="G12" s="187" t="n">
        <v>0.21408211</v>
      </c>
      <c r="H12" s="187" t="n">
        <v>0.14545249</v>
      </c>
      <c r="I12" s="187" t="n">
        <v>1.07616471</v>
      </c>
      <c r="J12" s="187" t="n">
        <v>1.49351672</v>
      </c>
      <c r="K12" s="188" t="inlineStr">
        <is>
          <t>2026-05-20 04:13</t>
        </is>
      </c>
      <c r="L12" s="109" t="inlineStr">
        <is>
          <t>yfinance</t>
        </is>
      </c>
    </row>
    <row r="13">
      <c r="A13" s="74" t="inlineStr">
        <is>
          <t>PG</t>
        </is>
      </c>
      <c r="B13" s="105" t="inlineStr">
        <is>
          <t>Procter &amp; Gamble Co</t>
        </is>
      </c>
      <c r="C13" s="185" t="n">
        <v>141.3</v>
      </c>
      <c r="D13" s="186" t="n">
        <v>8351900</v>
      </c>
      <c r="E13" s="187" t="n">
        <v>-0.00765501</v>
      </c>
      <c r="F13" s="187" t="n">
        <v>-0.01813634</v>
      </c>
      <c r="G13" s="187" t="n">
        <v>-0.03107603</v>
      </c>
      <c r="H13" s="187" t="n">
        <v>-0.11777178</v>
      </c>
      <c r="I13" s="187" t="n">
        <v>-0.11167793</v>
      </c>
      <c r="J13" s="187" t="n">
        <v>0.16290077</v>
      </c>
      <c r="K13" s="188" t="inlineStr">
        <is>
          <t>2026-05-20 04:13</t>
        </is>
      </c>
      <c r="L13" s="109" t="inlineStr">
        <is>
          <t>yfinance</t>
        </is>
      </c>
    </row>
    <row r="14">
      <c r="A14" s="74" t="inlineStr">
        <is>
          <t>ABBV</t>
        </is>
      </c>
      <c r="B14" s="105" t="inlineStr">
        <is>
          <t>AbbVie Inc</t>
        </is>
      </c>
      <c r="C14" s="185" t="n">
        <v>213.76</v>
      </c>
      <c r="D14" s="186" t="n">
        <v>7217400</v>
      </c>
      <c r="E14" s="187" t="n">
        <v>0.0207726</v>
      </c>
      <c r="F14" s="187" t="n">
        <v>0.02838446</v>
      </c>
      <c r="G14" s="187" t="n">
        <v>0.02581817</v>
      </c>
      <c r="H14" s="187" t="n">
        <v>0.1885406</v>
      </c>
      <c r="I14" s="187" t="n">
        <v>0.37448755</v>
      </c>
      <c r="J14" s="187" t="n">
        <v>1.20174038</v>
      </c>
      <c r="K14" s="188" t="inlineStr">
        <is>
          <t>2026-05-20 04:13</t>
        </is>
      </c>
      <c r="L14" s="109" t="inlineStr">
        <is>
          <t>yfinance</t>
        </is>
      </c>
    </row>
    <row r="15">
      <c r="A15" s="74" t="inlineStr">
        <is>
          <t>JNJ</t>
        </is>
      </c>
      <c r="B15" s="105" t="inlineStr">
        <is>
          <t>Johnson &amp; Johnson</t>
        </is>
      </c>
      <c r="C15" s="185" t="n">
        <v>230</v>
      </c>
      <c r="D15" s="186" t="n">
        <v>9668500</v>
      </c>
      <c r="E15" s="187" t="n">
        <v>0.00471781</v>
      </c>
      <c r="F15" s="187" t="n">
        <v>0.02559532</v>
      </c>
      <c r="G15" s="187" t="n">
        <v>-0.01784949</v>
      </c>
      <c r="H15" s="187" t="n">
        <v>0.5503196</v>
      </c>
      <c r="I15" s="187" t="n">
        <v>0.57780938</v>
      </c>
      <c r="J15" s="187" t="n">
        <v>0.54825631</v>
      </c>
      <c r="K15" s="188" t="inlineStr">
        <is>
          <t>2026-05-20 04:13</t>
        </is>
      </c>
      <c r="L15" s="109" t="inlineStr">
        <is>
          <t>yfinance</t>
        </is>
      </c>
    </row>
    <row r="16">
      <c r="A16" s="74" t="inlineStr">
        <is>
          <t>CVX</t>
        </is>
      </c>
      <c r="B16" s="105" t="inlineStr">
        <is>
          <t>Chevron Corp</t>
        </is>
      </c>
      <c r="C16" s="185" t="n">
        <v>197.25</v>
      </c>
      <c r="D16" s="186" t="n">
        <v>11811800</v>
      </c>
      <c r="E16" s="187" t="n">
        <v>0.0057618</v>
      </c>
      <c r="F16" s="187" t="n">
        <v>0.06076904</v>
      </c>
      <c r="G16" s="187" t="n">
        <v>0.0720691</v>
      </c>
      <c r="H16" s="187" t="n">
        <v>0.47047543</v>
      </c>
      <c r="I16" s="187" t="n">
        <v>0.30875551</v>
      </c>
      <c r="J16" s="187" t="n">
        <v>1.31720014</v>
      </c>
      <c r="K16" s="188" t="inlineStr">
        <is>
          <t>2026-05-20 04:13</t>
        </is>
      </c>
      <c r="L16" s="109" t="inlineStr">
        <is>
          <t>yfinance</t>
        </is>
      </c>
    </row>
    <row r="17">
      <c r="A17" s="74" t="inlineStr">
        <is>
          <t>XOM</t>
        </is>
      </c>
      <c r="B17" s="105" t="inlineStr">
        <is>
          <t>Exxon Mobil Corp</t>
        </is>
      </c>
      <c r="C17" s="185" t="n">
        <v>162.55</v>
      </c>
      <c r="D17" s="186" t="n">
        <v>20706800</v>
      </c>
      <c r="E17" s="187" t="n">
        <v>0.01283568</v>
      </c>
      <c r="F17" s="187" t="n">
        <v>0.08645886999999999</v>
      </c>
      <c r="G17" s="187" t="n">
        <v>0.11754512</v>
      </c>
      <c r="H17" s="187" t="n">
        <v>0.57538721</v>
      </c>
      <c r="I17" s="187" t="n">
        <v>0.45085385</v>
      </c>
      <c r="J17" s="187" t="n">
        <v>2.32013621</v>
      </c>
      <c r="K17" s="188" t="inlineStr">
        <is>
          <t>2026-05-20 04:13</t>
        </is>
      </c>
      <c r="L17" s="109" t="inlineStr">
        <is>
          <t>yfinance</t>
        </is>
      </c>
    </row>
    <row r="18">
      <c r="A18" s="74" t="inlineStr">
        <is>
          <t>IVES</t>
        </is>
      </c>
      <c r="B18" s="105" t="inlineStr">
        <is>
          <t>WEDBUSH SERIES TRUST DAN IVES WEDBUSH AI REVOLUTION ETF</t>
        </is>
      </c>
      <c r="C18" s="185" t="n">
        <v>35.76</v>
      </c>
      <c r="D18" s="186" t="n">
        <v>399100</v>
      </c>
      <c r="E18" s="187" t="n">
        <v>-0.01024087</v>
      </c>
      <c r="F18" s="187" t="n">
        <v>-0.00556176</v>
      </c>
      <c r="G18" s="187" t="n">
        <v>0.09290944</v>
      </c>
      <c r="H18" s="187" t="n"/>
      <c r="I18" s="187" t="n"/>
      <c r="J18" s="187" t="n"/>
      <c r="K18" s="188" t="inlineStr">
        <is>
          <t>2026-05-20 04:13</t>
        </is>
      </c>
      <c r="L18" s="109" t="inlineStr">
        <is>
          <t>yfinance</t>
        </is>
      </c>
    </row>
    <row r="19">
      <c r="A19" s="74" t="inlineStr">
        <is>
          <t>GEV</t>
        </is>
      </c>
      <c r="B19" s="105" t="inlineStr">
        <is>
          <t>GE Vernova Inc</t>
        </is>
      </c>
      <c r="C19" s="185" t="n">
        <v>1011.8</v>
      </c>
      <c r="D19" s="186" t="n">
        <v>2243200</v>
      </c>
      <c r="E19" s="187" t="n">
        <v>-0.00044457</v>
      </c>
      <c r="F19" s="187" t="n">
        <v>-0.0561391</v>
      </c>
      <c r="G19" s="187" t="n">
        <v>0.009025170000000001</v>
      </c>
      <c r="H19" s="187" t="n">
        <v>1.27053492</v>
      </c>
      <c r="I19" s="187" t="n">
        <v>5.24496837</v>
      </c>
      <c r="J19" s="187" t="n"/>
      <c r="K19" s="188" t="inlineStr">
        <is>
          <t>2026-05-20 04:13</t>
        </is>
      </c>
      <c r="L19" s="109" t="inlineStr">
        <is>
          <t>yfinance</t>
        </is>
      </c>
    </row>
    <row r="20">
      <c r="A20" s="74" t="inlineStr">
        <is>
          <t>MSFT</t>
        </is>
      </c>
      <c r="B20" s="105" t="inlineStr">
        <is>
          <t>Microsoft Corp</t>
        </is>
      </c>
      <c r="C20" s="185" t="n">
        <v>417.42</v>
      </c>
      <c r="D20" s="186" t="n">
        <v>32942800</v>
      </c>
      <c r="E20" s="187" t="n">
        <v>-0.01444963</v>
      </c>
      <c r="F20" s="187" t="n">
        <v>0.02366536</v>
      </c>
      <c r="G20" s="187" t="n">
        <v>-0.01270133</v>
      </c>
      <c r="H20" s="187" t="n">
        <v>-0.08504617</v>
      </c>
      <c r="I20" s="187" t="n">
        <v>0.00679138</v>
      </c>
      <c r="J20" s="187" t="n">
        <v>0.7608321300000001</v>
      </c>
      <c r="K20" s="188" t="inlineStr">
        <is>
          <t>2026-05-20 04:13</t>
        </is>
      </c>
      <c r="L20" s="109" t="inlineStr">
        <is>
          <t>yfinance</t>
        </is>
      </c>
    </row>
    <row r="21">
      <c r="A21" s="74" t="inlineStr">
        <is>
          <t>MU</t>
        </is>
      </c>
      <c r="B21" s="105" t="inlineStr">
        <is>
          <t>Micron Technology Inc</t>
        </is>
      </c>
      <c r="C21" s="185" t="n">
        <v>698.74</v>
      </c>
      <c r="D21" s="186" t="n">
        <v>61450300</v>
      </c>
      <c r="E21" s="187" t="n">
        <v>0.02523698</v>
      </c>
      <c r="F21" s="187" t="n">
        <v>-0.08849699</v>
      </c>
      <c r="G21" s="187" t="n">
        <v>0.53545604</v>
      </c>
      <c r="H21" s="187" t="n">
        <v>6.09997452</v>
      </c>
      <c r="I21" s="187" t="n">
        <v>4.6161004</v>
      </c>
      <c r="J21" s="187" t="n">
        <v>7.8308329</v>
      </c>
      <c r="K21" s="188" t="inlineStr">
        <is>
          <t>2026-05-20 04:13</t>
        </is>
      </c>
      <c r="L21" s="109" t="inlineStr">
        <is>
          <t>yfinance</t>
        </is>
      </c>
    </row>
    <row r="22">
      <c r="A22" s="74" t="inlineStr">
        <is>
          <t>AAPL</t>
        </is>
      </c>
      <c r="B22" s="105" t="inlineStr">
        <is>
          <t>Apple Inc</t>
        </is>
      </c>
      <c r="C22" s="185" t="n">
        <v>298.97</v>
      </c>
      <c r="D22" s="186" t="n">
        <v>42199700</v>
      </c>
      <c r="E22" s="187" t="n">
        <v>0.003794</v>
      </c>
      <c r="F22" s="187" t="n">
        <v>0.01414523</v>
      </c>
      <c r="G22" s="187" t="n">
        <v>0.10737315</v>
      </c>
      <c r="H22" s="187" t="n">
        <v>0.43766669</v>
      </c>
      <c r="I22" s="187" t="n">
        <v>0.58824353</v>
      </c>
      <c r="J22" s="187" t="n">
        <v>1.40919002</v>
      </c>
      <c r="K22" s="188" t="inlineStr">
        <is>
          <t>2026-05-20 04:13</t>
        </is>
      </c>
      <c r="L22" s="109" t="inlineStr">
        <is>
          <t>yfinance</t>
        </is>
      </c>
    </row>
    <row r="23">
      <c r="A23" s="74" t="inlineStr">
        <is>
          <t>NVDA</t>
        </is>
      </c>
      <c r="B23" s="105" t="inlineStr">
        <is>
          <t>NVIDIA Corp</t>
        </is>
      </c>
      <c r="C23" s="185" t="n">
        <v>220.61</v>
      </c>
      <c r="D23" s="186" t="n">
        <v>140201600</v>
      </c>
      <c r="E23" s="187" t="n">
        <v>-0.00769165</v>
      </c>
      <c r="F23" s="187" t="n">
        <v>-0.00076999</v>
      </c>
      <c r="G23" s="187" t="n">
        <v>0.09386161</v>
      </c>
      <c r="H23" s="187" t="n">
        <v>0.62766095</v>
      </c>
      <c r="I23" s="187" t="n">
        <v>1.38686114</v>
      </c>
      <c r="J23" s="187" t="n">
        <v>14.13540008</v>
      </c>
      <c r="K23" s="188" t="inlineStr">
        <is>
          <t>2026-05-20 04:13</t>
        </is>
      </c>
      <c r="L23" s="109" t="inlineStr">
        <is>
          <t>yfinance</t>
        </is>
      </c>
    </row>
    <row r="24">
      <c r="A24" s="74" t="inlineStr">
        <is>
          <t>TSM</t>
        </is>
      </c>
      <c r="B24" s="105" t="inlineStr">
        <is>
          <t>Taiwan Semiconductor Manufacturing Co Ltd ADR</t>
        </is>
      </c>
      <c r="C24" s="185" t="n">
        <v>392.61</v>
      </c>
      <c r="D24" s="186" t="n">
        <v>14054400</v>
      </c>
      <c r="E24" s="187" t="n">
        <v>-0.00843548</v>
      </c>
      <c r="F24" s="187" t="n">
        <v>-0.01175497</v>
      </c>
      <c r="G24" s="187" t="n">
        <v>0.05967607</v>
      </c>
      <c r="H24" s="187" t="n">
        <v>1.05412247</v>
      </c>
      <c r="I24" s="187" t="n">
        <v>1.65712899</v>
      </c>
      <c r="J24" s="187" t="n">
        <v>2.76546543</v>
      </c>
      <c r="K24" s="188" t="inlineStr">
        <is>
          <t>2026-05-20 04:13</t>
        </is>
      </c>
      <c r="L24" s="109" t="inlineStr">
        <is>
          <t>yfinance</t>
        </is>
      </c>
    </row>
    <row r="25">
      <c r="A25" s="74" t="inlineStr">
        <is>
          <t>GOOGL</t>
        </is>
      </c>
      <c r="B25" s="105" t="inlineStr">
        <is>
          <t>Alphabet Inc Class A</t>
        </is>
      </c>
      <c r="C25" s="185" t="n">
        <v>387.66</v>
      </c>
      <c r="D25" s="186" t="n">
        <v>39458400</v>
      </c>
      <c r="E25" s="187" t="n">
        <v>-0.02337884</v>
      </c>
      <c r="F25" s="187" t="n">
        <v>0.0008003</v>
      </c>
      <c r="G25" s="187" t="n">
        <v>0.13457039</v>
      </c>
      <c r="H25" s="187" t="n">
        <v>1.33580064</v>
      </c>
      <c r="I25" s="187" t="n">
        <v>1.22006105</v>
      </c>
      <c r="J25" s="187" t="n">
        <v>2.38857782</v>
      </c>
      <c r="K25" s="188" t="inlineStr">
        <is>
          <t>2026-05-20 04:13</t>
        </is>
      </c>
      <c r="L25" s="109" t="inlineStr">
        <is>
          <t>yfinance</t>
        </is>
      </c>
    </row>
    <row r="26">
      <c r="A26" s="74" t="inlineStr">
        <is>
          <t>AMZN</t>
        </is>
      </c>
      <c r="B26" s="105" t="inlineStr">
        <is>
          <t>Amazon.com Inc</t>
        </is>
      </c>
      <c r="C26" s="185" t="n">
        <v>259.34</v>
      </c>
      <c r="D26" s="186" t="n">
        <v>40269100</v>
      </c>
      <c r="E26" s="187" t="n">
        <v>-0.02084116</v>
      </c>
      <c r="F26" s="187" t="n">
        <v>-0.02437744</v>
      </c>
      <c r="G26" s="187" t="n">
        <v>0.0350415</v>
      </c>
      <c r="H26" s="187" t="n">
        <v>0.25795495</v>
      </c>
      <c r="I26" s="187" t="n">
        <v>0.40411478</v>
      </c>
      <c r="J26" s="187" t="n">
        <v>0.59707848</v>
      </c>
      <c r="K26" s="188" t="inlineStr">
        <is>
          <t>2026-05-20 04:13</t>
        </is>
      </c>
      <c r="L26" s="109" t="inlineStr">
        <is>
          <t>yfinance</t>
        </is>
      </c>
    </row>
    <row r="27">
      <c r="A27" s="74" t="inlineStr">
        <is>
          <t>AVGO</t>
        </is>
      </c>
      <c r="B27" s="105" t="inlineStr">
        <is>
          <t>Broadcom Inc</t>
        </is>
      </c>
      <c r="C27" s="185" t="n">
        <v>411.07</v>
      </c>
      <c r="D27" s="186" t="n">
        <v>20620900</v>
      </c>
      <c r="E27" s="187" t="n">
        <v>-0.02291361</v>
      </c>
      <c r="F27" s="187" t="n">
        <v>-0.01962791</v>
      </c>
      <c r="G27" s="187" t="n">
        <v>0.01114281</v>
      </c>
      <c r="H27" s="187" t="n">
        <v>0.7968204800000001</v>
      </c>
      <c r="I27" s="187" t="n">
        <v>2.00630602</v>
      </c>
      <c r="J27" s="187" t="n">
        <v>8.985730800000001</v>
      </c>
      <c r="K27" s="188" t="inlineStr">
        <is>
          <t>2026-05-20 04:13</t>
        </is>
      </c>
      <c r="L27" s="109" t="inlineStr">
        <is>
          <t>yfinance</t>
        </is>
      </c>
    </row>
    <row r="28">
      <c r="A28" s="74" t="inlineStr">
        <is>
          <t>AMD</t>
        </is>
      </c>
      <c r="B28" s="105" t="inlineStr">
        <is>
          <t>Advanced Micro Devices Inc</t>
        </is>
      </c>
      <c r="C28" s="185" t="n">
        <v>414.05</v>
      </c>
      <c r="D28" s="186" t="n">
        <v>38637700</v>
      </c>
      <c r="E28" s="187" t="n">
        <v>-0.01648496</v>
      </c>
      <c r="F28" s="187" t="n">
        <v>-0.07637917</v>
      </c>
      <c r="G28" s="187" t="n">
        <v>0.48730186</v>
      </c>
      <c r="H28" s="187" t="n">
        <v>2.6085933</v>
      </c>
      <c r="I28" s="187" t="n">
        <v>1.5174803</v>
      </c>
      <c r="J28" s="187" t="n">
        <v>4.30425315</v>
      </c>
      <c r="K28" s="188" t="inlineStr">
        <is>
          <t>2026-05-20 04:13</t>
        </is>
      </c>
      <c r="L28" s="109" t="inlineStr">
        <is>
          <t>yfinance</t>
        </is>
      </c>
    </row>
    <row r="29">
      <c r="A29" s="74" t="inlineStr">
        <is>
          <t>IWMI</t>
        </is>
      </c>
      <c r="B29" s="105" t="inlineStr">
        <is>
          <t>NEOS ETF TR NEOS RUSSELL 2000 HIGH INCOME ETF</t>
        </is>
      </c>
      <c r="C29" s="185" t="n">
        <v>50.4</v>
      </c>
      <c r="D29" s="186" t="n">
        <v>338400</v>
      </c>
      <c r="E29" s="187" t="n">
        <v>-0.00923919</v>
      </c>
      <c r="F29" s="187" t="n">
        <v>-0.02740251</v>
      </c>
      <c r="G29" s="187" t="n">
        <v>-0.00467414</v>
      </c>
      <c r="H29" s="187" t="n">
        <v>0.29223429</v>
      </c>
      <c r="I29" s="187" t="n"/>
      <c r="J29" s="187" t="n"/>
      <c r="K29" s="188" t="inlineStr">
        <is>
          <t>2026-05-20 04:13</t>
        </is>
      </c>
      <c r="L29" s="109" t="inlineStr">
        <is>
          <t>yfinance</t>
        </is>
      </c>
    </row>
    <row r="30">
      <c r="A30" s="74" t="inlineStr">
        <is>
          <t>FXFXX</t>
        </is>
      </c>
      <c r="B30" s="105" t="inlineStr">
        <is>
          <t>First American Treasury Obligs X</t>
        </is>
      </c>
      <c r="C30" s="185" t="n">
        <v>1</v>
      </c>
      <c r="D30" s="186" t="n"/>
      <c r="E30" s="187" t="n"/>
      <c r="F30" s="187" t="n"/>
      <c r="G30" s="187" t="n"/>
      <c r="H30" s="187" t="n"/>
      <c r="I30" s="187" t="n"/>
      <c r="J30" s="187" t="n"/>
      <c r="K30" s="188" t="inlineStr">
        <is>
          <t>2026-05-20 04:13</t>
        </is>
      </c>
      <c r="L30" s="109" t="inlineStr">
        <is>
          <t>fixed $1.00</t>
        </is>
      </c>
    </row>
    <row r="31">
      <c r="A31" s="74" t="inlineStr">
        <is>
          <t>VTWO</t>
        </is>
      </c>
      <c r="B31" s="105" t="inlineStr">
        <is>
          <t>Vanguard Russell 2000 ETF</t>
        </is>
      </c>
      <c r="C31" s="185" t="n">
        <v>110.32</v>
      </c>
      <c r="D31" s="186" t="n">
        <v>2337100</v>
      </c>
      <c r="E31" s="187" t="n">
        <v>-0.01067171</v>
      </c>
      <c r="F31" s="187" t="n">
        <v>-0.03380628</v>
      </c>
      <c r="G31" s="187" t="n">
        <v>-0.00996142</v>
      </c>
      <c r="H31" s="187" t="n">
        <v>0.32343854</v>
      </c>
      <c r="I31" s="187" t="n">
        <v>0.3467783</v>
      </c>
      <c r="J31" s="187" t="n">
        <v>0.33418223</v>
      </c>
      <c r="K31" s="188" t="inlineStr">
        <is>
          <t>2026-05-20 04:13</t>
        </is>
      </c>
      <c r="L31" s="109" t="inlineStr">
        <is>
          <t>yfinance</t>
        </is>
      </c>
    </row>
    <row r="32">
      <c r="A32" s="74" t="inlineStr">
        <is>
          <t>MAGS</t>
        </is>
      </c>
      <c r="B32" s="105" t="inlineStr">
        <is>
          <t>LISTED FUNDS TRUST ROUNDHILL MAGNIFICENT SEVEN ETF</t>
        </is>
      </c>
      <c r="C32" s="185" t="n">
        <v>68.53</v>
      </c>
      <c r="D32" s="186" t="n">
        <v>2829500</v>
      </c>
      <c r="E32" s="187" t="n">
        <v>-0.01338901</v>
      </c>
      <c r="F32" s="187" t="n">
        <v>-0.008535940000000001</v>
      </c>
      <c r="G32" s="187" t="n">
        <v>0.03130176</v>
      </c>
      <c r="H32" s="187" t="n">
        <v>0.33032396</v>
      </c>
      <c r="I32" s="187" t="n">
        <v>0.7189959299999999</v>
      </c>
      <c r="J32" s="187" t="n"/>
      <c r="K32" s="188" t="inlineStr">
        <is>
          <t>2026-05-20 04:13</t>
        </is>
      </c>
      <c r="L32" s="109" t="inlineStr">
        <is>
          <t>yfinance</t>
        </is>
      </c>
    </row>
    <row r="33">
      <c r="A33" s="74" t="inlineStr">
        <is>
          <t>META</t>
        </is>
      </c>
      <c r="B33" s="105" t="inlineStr">
        <is>
          <t>Meta Platforms Inc Class A</t>
        </is>
      </c>
      <c r="C33" s="185" t="n">
        <v>602.61</v>
      </c>
      <c r="D33" s="186" t="n">
        <v>11720900</v>
      </c>
      <c r="E33" s="187" t="n">
        <v>-0.01407051</v>
      </c>
      <c r="F33" s="187" t="n">
        <v>-0.00064679</v>
      </c>
      <c r="G33" s="187" t="n">
        <v>-0.12481302</v>
      </c>
      <c r="H33" s="187" t="n">
        <v>-0.05611858</v>
      </c>
      <c r="I33" s="187" t="n">
        <v>0.28561635</v>
      </c>
      <c r="J33" s="187" t="n">
        <v>0.90621418</v>
      </c>
      <c r="K33" s="188" t="inlineStr">
        <is>
          <t>2026-05-20 04:13</t>
        </is>
      </c>
      <c r="L33" s="109" t="inlineStr">
        <is>
          <t>yfinance</t>
        </is>
      </c>
    </row>
    <row r="34">
      <c r="A34" s="74" t="inlineStr">
        <is>
          <t>XBOX</t>
        </is>
      </c>
      <c r="B34" s="105" t="inlineStr">
        <is>
          <t>Roundhill Ultra Shrt Dur No Div TrgtETF</t>
        </is>
      </c>
      <c r="C34" s="185" t="n">
        <v>99.53</v>
      </c>
      <c r="D34" s="186" t="n">
        <v>32700</v>
      </c>
      <c r="E34" s="187" t="n">
        <v>0</v>
      </c>
      <c r="F34" s="187" t="n">
        <v>0.00090503</v>
      </c>
      <c r="G34" s="187" t="n">
        <v>0.00241714</v>
      </c>
      <c r="H34" s="187" t="n"/>
      <c r="I34" s="187" t="n"/>
      <c r="J34" s="187" t="n"/>
      <c r="K34" s="188" t="inlineStr">
        <is>
          <t>2026-05-20 04:13</t>
        </is>
      </c>
      <c r="L34" s="109" t="inlineStr">
        <is>
          <t>yfinance</t>
        </is>
      </c>
    </row>
    <row r="35">
      <c r="A35" s="74" t="inlineStr">
        <is>
          <t>QQQI</t>
        </is>
      </c>
      <c r="B35" s="105" t="inlineStr">
        <is>
          <t>NEOS ETF TRUST NEOS NASDAQ 100 HIGH INCOME ETF</t>
        </is>
      </c>
      <c r="C35" s="185" t="n">
        <v>56.14</v>
      </c>
      <c r="D35" s="186" t="n">
        <v>7640900</v>
      </c>
      <c r="E35" s="187" t="n">
        <v>-0.00354989</v>
      </c>
      <c r="F35" s="187" t="n">
        <v>-0.00319603</v>
      </c>
      <c r="G35" s="187" t="n">
        <v>0.05412315</v>
      </c>
      <c r="H35" s="187" t="n">
        <v>0.2700307</v>
      </c>
      <c r="I35" s="187" t="n">
        <v>0.46685105</v>
      </c>
      <c r="J35" s="187" t="n"/>
      <c r="K35" s="188" t="inlineStr">
        <is>
          <t>2026-05-20 04:13</t>
        </is>
      </c>
      <c r="L35" s="109" t="inlineStr">
        <is>
          <t>yfinance</t>
        </is>
      </c>
    </row>
    <row r="36">
      <c r="A36" s="74" t="inlineStr">
        <is>
          <t>TSLA</t>
        </is>
      </c>
      <c r="B36" s="105" t="inlineStr">
        <is>
          <t>Tesla Inc</t>
        </is>
      </c>
      <c r="C36" s="185" t="n">
        <v>404.11</v>
      </c>
      <c r="D36" s="186" t="n">
        <v>46354700</v>
      </c>
      <c r="E36" s="187" t="n">
        <v>-0.01434183</v>
      </c>
      <c r="F36" s="187" t="n">
        <v>-0.06768953</v>
      </c>
      <c r="G36" s="187" t="n">
        <v>0.008711470000000001</v>
      </c>
      <c r="H36" s="187" t="n">
        <v>0.18129729</v>
      </c>
      <c r="I36" s="187" t="n">
        <v>1.27718906</v>
      </c>
      <c r="J36" s="187" t="n">
        <v>1.06607234</v>
      </c>
      <c r="K36" s="188" t="inlineStr">
        <is>
          <t>2026-05-20 04:13</t>
        </is>
      </c>
      <c r="L36" s="109" t="inlineStr">
        <is>
          <t>yfinance</t>
        </is>
      </c>
    </row>
    <row r="37">
      <c r="A37" s="74" t="inlineStr">
        <is>
          <t>GOOG</t>
        </is>
      </c>
      <c r="B37" s="105" t="inlineStr">
        <is>
          <t>Alphabet Inc Class C</t>
        </is>
      </c>
      <c r="C37" s="185" t="n">
        <v>384.9</v>
      </c>
      <c r="D37" s="186" t="n">
        <v>25497700</v>
      </c>
      <c r="E37" s="187" t="n">
        <v>-0.02088472</v>
      </c>
      <c r="F37" s="187" t="n">
        <v>0.00281378</v>
      </c>
      <c r="G37" s="187" t="n">
        <v>0.13406011</v>
      </c>
      <c r="H37" s="187" t="n">
        <v>1.30077221</v>
      </c>
      <c r="I37" s="187" t="n">
        <v>1.18884331</v>
      </c>
      <c r="J37" s="187" t="n">
        <v>2.29410168</v>
      </c>
      <c r="K37" s="188" t="inlineStr">
        <is>
          <t>2026-05-20 04:13</t>
        </is>
      </c>
      <c r="L37" s="109" t="inlineStr">
        <is>
          <t>yfinance</t>
        </is>
      </c>
    </row>
    <row r="38">
      <c r="A38" s="74" t="inlineStr">
        <is>
          <t>QTUM</t>
        </is>
      </c>
      <c r="B38" s="105" t="inlineStr">
        <is>
          <t>ETF SER SOLUTIONS DEFIANCE QUANTUM ETF</t>
        </is>
      </c>
      <c r="C38" s="185" t="n">
        <v>140.63</v>
      </c>
      <c r="D38" s="186" t="n">
        <v>528600</v>
      </c>
      <c r="E38" s="187" t="n">
        <v>-0.00943859</v>
      </c>
      <c r="F38" s="187" t="n">
        <v>-0.02326706</v>
      </c>
      <c r="G38" s="187" t="n">
        <v>0.09961689999999999</v>
      </c>
      <c r="H38" s="187" t="n">
        <v>0.67591539</v>
      </c>
      <c r="I38" s="187" t="n">
        <v>1.3275651</v>
      </c>
      <c r="J38" s="187" t="n">
        <v>2.18068081</v>
      </c>
      <c r="K38" s="188" t="inlineStr">
        <is>
          <t>2026-05-20 04:13</t>
        </is>
      </c>
      <c r="L38" s="109" t="inlineStr">
        <is>
          <t>yfinance</t>
        </is>
      </c>
    </row>
    <row r="39">
      <c r="A39" s="74" t="inlineStr">
        <is>
          <t>COHR</t>
        </is>
      </c>
      <c r="B39" s="105" t="inlineStr">
        <is>
          <t>Coherent Corp</t>
        </is>
      </c>
      <c r="C39" s="185" t="n">
        <v>353.63</v>
      </c>
      <c r="D39" s="186" t="n">
        <v>5771600</v>
      </c>
      <c r="E39" s="187" t="n">
        <v>-0.02535618</v>
      </c>
      <c r="F39" s="187" t="n">
        <v>-0.05449053</v>
      </c>
      <c r="G39" s="187" t="n">
        <v>0.02495512</v>
      </c>
      <c r="H39" s="187" t="n">
        <v>3.45490069</v>
      </c>
      <c r="I39" s="187" t="n">
        <v>5.08343366</v>
      </c>
      <c r="J39" s="187" t="n">
        <v>4.36697539</v>
      </c>
      <c r="K39" s="188" t="inlineStr">
        <is>
          <t>2026-05-20 04:13</t>
        </is>
      </c>
      <c r="L39" s="109" t="inlineStr">
        <is>
          <t>yfinance</t>
        </is>
      </c>
    </row>
    <row r="40">
      <c r="A40" s="74" t="inlineStr">
        <is>
          <t>ONTO</t>
        </is>
      </c>
      <c r="B40" s="105" t="inlineStr">
        <is>
          <t>Onto Innovation Inc</t>
        </is>
      </c>
      <c r="C40" s="185" t="n">
        <v>248.08</v>
      </c>
      <c r="D40" s="186" t="n">
        <v>4992400</v>
      </c>
      <c r="E40" s="187" t="n">
        <v>-0.02534081</v>
      </c>
      <c r="F40" s="187" t="n">
        <v>-0.10743326</v>
      </c>
      <c r="G40" s="187" t="n">
        <v>-0.14678775</v>
      </c>
      <c r="H40" s="187" t="n">
        <v>1.47042428</v>
      </c>
      <c r="I40" s="187" t="n">
        <v>0.10997764</v>
      </c>
      <c r="J40" s="187" t="n">
        <v>2.8780678</v>
      </c>
      <c r="K40" s="188" t="inlineStr">
        <is>
          <t>2026-05-20 04:13</t>
        </is>
      </c>
      <c r="L40" s="109" t="inlineStr">
        <is>
          <t>yfinance</t>
        </is>
      </c>
    </row>
    <row r="41">
      <c r="A41" s="74" t="inlineStr">
        <is>
          <t>MRVL</t>
        </is>
      </c>
      <c r="B41" s="105" t="inlineStr">
        <is>
          <t>Marvell Technology Inc</t>
        </is>
      </c>
      <c r="C41" s="185" t="n">
        <v>176.27</v>
      </c>
      <c r="D41" s="186" t="n">
        <v>24916400</v>
      </c>
      <c r="E41" s="187" t="n">
        <v>0.04345002</v>
      </c>
      <c r="F41" s="187" t="n">
        <v>0.07155018</v>
      </c>
      <c r="G41" s="187" t="n">
        <v>0.26186557</v>
      </c>
      <c r="H41" s="187" t="n">
        <v>1.8252325</v>
      </c>
      <c r="I41" s="187" t="n">
        <v>1.4656723</v>
      </c>
      <c r="J41" s="187" t="n">
        <v>2.88499347</v>
      </c>
      <c r="K41" s="188" t="inlineStr">
        <is>
          <t>2026-05-20 04:13</t>
        </is>
      </c>
      <c r="L41" s="109" t="inlineStr">
        <is>
          <t>yfinance</t>
        </is>
      </c>
    </row>
    <row r="42">
      <c r="A42" s="74" t="inlineStr">
        <is>
          <t>ON</t>
        </is>
      </c>
      <c r="B42" s="105" t="inlineStr">
        <is>
          <t>ON Semiconductor Corp</t>
        </is>
      </c>
      <c r="C42" s="185" t="n">
        <v>106.02</v>
      </c>
      <c r="D42" s="186" t="n">
        <v>11707700</v>
      </c>
      <c r="E42" s="187" t="n">
        <v>-0.03116151</v>
      </c>
      <c r="F42" s="187" t="n">
        <v>0.01834594</v>
      </c>
      <c r="G42" s="187" t="n">
        <v>0.27719545</v>
      </c>
      <c r="H42" s="187" t="n">
        <v>1.41833933</v>
      </c>
      <c r="I42" s="187" t="n">
        <v>0.44895448</v>
      </c>
      <c r="J42" s="187" t="n">
        <v>1.75162211</v>
      </c>
      <c r="K42" s="188" t="inlineStr">
        <is>
          <t>2026-05-20 04:13</t>
        </is>
      </c>
      <c r="L42" s="109" t="inlineStr">
        <is>
          <t>yfinance</t>
        </is>
      </c>
    </row>
    <row r="43">
      <c r="A43" s="74" t="inlineStr">
        <is>
          <t>NOK</t>
        </is>
      </c>
      <c r="B43" s="105" t="inlineStr">
        <is>
          <t>Nokia Oyj ADR</t>
        </is>
      </c>
      <c r="C43" s="185" t="n">
        <v>13.67</v>
      </c>
      <c r="D43" s="186" t="n">
        <v>82194000</v>
      </c>
      <c r="E43" s="187" t="n">
        <v>-0.00509459</v>
      </c>
      <c r="F43" s="187" t="n">
        <v>0.03796507</v>
      </c>
      <c r="G43" s="187" t="n">
        <v>0.32589714</v>
      </c>
      <c r="H43" s="187" t="n">
        <v>1.63788215</v>
      </c>
      <c r="I43" s="187" t="n">
        <v>2.64782675</v>
      </c>
      <c r="J43" s="187" t="n">
        <v>1.9549765</v>
      </c>
      <c r="K43" s="188" t="inlineStr">
        <is>
          <t>2026-05-20 04:13</t>
        </is>
      </c>
      <c r="L43" s="109" t="inlineStr">
        <is>
          <t>yfinance</t>
        </is>
      </c>
    </row>
    <row r="44">
      <c r="A44" s="74" t="inlineStr">
        <is>
          <t>STM</t>
        </is>
      </c>
      <c r="B44" s="105" t="inlineStr">
        <is>
          <t>STMicroelectronics NV ADR</t>
        </is>
      </c>
      <c r="C44" s="185" t="n">
        <v>61.23</v>
      </c>
      <c r="D44" s="186" t="n">
        <v>10716400</v>
      </c>
      <c r="E44" s="187" t="n">
        <v>0.00442914</v>
      </c>
      <c r="F44" s="187" t="n">
        <v>0.05696529</v>
      </c>
      <c r="G44" s="187" t="n">
        <v>0.38466752</v>
      </c>
      <c r="H44" s="187" t="n">
        <v>1.4003459</v>
      </c>
      <c r="I44" s="187" t="n">
        <v>0.50797156</v>
      </c>
      <c r="J44" s="187" t="n">
        <v>0.76566432</v>
      </c>
      <c r="K44" s="188" t="inlineStr">
        <is>
          <t>2026-05-20 04:13</t>
        </is>
      </c>
      <c r="L44" s="109" t="inlineStr">
        <is>
          <t>yfinance</t>
        </is>
      </c>
    </row>
    <row r="45">
      <c r="A45" s="74" t="inlineStr">
        <is>
          <t>INTC</t>
        </is>
      </c>
      <c r="B45" s="105" t="inlineStr">
        <is>
          <t>Intel Corp</t>
        </is>
      </c>
      <c r="C45" s="185" t="n">
        <v>110.8</v>
      </c>
      <c r="D45" s="186" t="n">
        <v>149436900</v>
      </c>
      <c r="E45" s="187" t="n">
        <v>0.02431363</v>
      </c>
      <c r="F45" s="187" t="n">
        <v>-0.08133652</v>
      </c>
      <c r="G45" s="187" t="n">
        <v>0.61751829</v>
      </c>
      <c r="H45" s="187" t="n">
        <v>4.18241382</v>
      </c>
      <c r="I45" s="187" t="n">
        <v>2.50307486</v>
      </c>
      <c r="J45" s="187" t="n">
        <v>1.1640348</v>
      </c>
      <c r="K45" s="188" t="inlineStr">
        <is>
          <t>2026-05-20 04:13</t>
        </is>
      </c>
      <c r="L45" s="109" t="inlineStr">
        <is>
          <t>yfinance</t>
        </is>
      </c>
    </row>
    <row r="46">
      <c r="A46" s="74" t="inlineStr">
        <is>
          <t>SCHD</t>
        </is>
      </c>
      <c r="B46" s="105" t="inlineStr">
        <is>
          <t>SCHWAB STRATEGIC TR US DIVIDEND EQUITY ETF</t>
        </is>
      </c>
      <c r="C46" s="185" t="n">
        <v>32.1</v>
      </c>
      <c r="D46" s="186" t="n">
        <v>18035400</v>
      </c>
      <c r="E46" s="187" t="n">
        <v>0.00187258</v>
      </c>
      <c r="F46" s="187" t="n">
        <v>0.01070523</v>
      </c>
      <c r="G46" s="187" t="n">
        <v>0.0338164</v>
      </c>
      <c r="H46" s="187" t="n">
        <v>0.25432877</v>
      </c>
      <c r="I46" s="187" t="n">
        <v>0.29702111</v>
      </c>
      <c r="J46" s="187" t="n">
        <v>0.49969627</v>
      </c>
      <c r="K46" s="188" t="inlineStr">
        <is>
          <t>2026-05-20 04:13</t>
        </is>
      </c>
      <c r="L46" s="109" t="inlineStr">
        <is>
          <t>yfinance</t>
        </is>
      </c>
    </row>
    <row r="47">
      <c r="A47" s="74" t="inlineStr">
        <is>
          <t>VZ</t>
        </is>
      </c>
      <c r="B47" s="105" t="inlineStr">
        <is>
          <t>Verizon Communications Inc</t>
        </is>
      </c>
      <c r="C47" s="185" t="n">
        <v>47.74</v>
      </c>
      <c r="D47" s="186" t="n">
        <v>24582600</v>
      </c>
      <c r="E47" s="187" t="n">
        <v>0.02095816</v>
      </c>
      <c r="F47" s="187" t="n">
        <v>-0.00396409</v>
      </c>
      <c r="G47" s="187" t="n">
        <v>0.02556396</v>
      </c>
      <c r="H47" s="187" t="n">
        <v>0.15001222</v>
      </c>
      <c r="I47" s="187" t="n">
        <v>0.35774645</v>
      </c>
      <c r="J47" s="187" t="n">
        <v>0.14657511</v>
      </c>
      <c r="K47" s="188" t="inlineStr">
        <is>
          <t>2026-05-20 04:13</t>
        </is>
      </c>
      <c r="L47" s="109" t="inlineStr">
        <is>
          <t>yfinance</t>
        </is>
      </c>
    </row>
    <row r="48">
      <c r="A48" s="74" t="inlineStr">
        <is>
          <t>PEP</t>
        </is>
      </c>
      <c r="B48" s="105" t="inlineStr">
        <is>
          <t>PepsiCo Inc</t>
        </is>
      </c>
      <c r="C48" s="185" t="n">
        <v>150.37</v>
      </c>
      <c r="D48" s="186" t="n">
        <v>10091200</v>
      </c>
      <c r="E48" s="187" t="n">
        <v>0.00878839</v>
      </c>
      <c r="F48" s="187" t="n">
        <v>-0.00974653</v>
      </c>
      <c r="G48" s="187" t="n">
        <v>-0.04629925</v>
      </c>
      <c r="H48" s="187" t="n">
        <v>0.18668605</v>
      </c>
      <c r="I48" s="187" t="n">
        <v>-0.1130392</v>
      </c>
      <c r="J48" s="187" t="n">
        <v>0.19273934</v>
      </c>
      <c r="K48" s="188" t="inlineStr">
        <is>
          <t>2026-05-20 04:13</t>
        </is>
      </c>
      <c r="L48" s="109" t="inlineStr">
        <is>
          <t>yfinance</t>
        </is>
      </c>
    </row>
    <row r="49">
      <c r="A49" s="74" t="inlineStr">
        <is>
          <t>COP</t>
        </is>
      </c>
      <c r="B49" s="105" t="inlineStr">
        <is>
          <t>ConocoPhillips</t>
        </is>
      </c>
      <c r="C49" s="185" t="n">
        <v>125.11</v>
      </c>
      <c r="D49" s="186" t="n">
        <v>6026700</v>
      </c>
      <c r="E49" s="187" t="n">
        <v>0.00457684</v>
      </c>
      <c r="F49" s="187" t="n">
        <v>0.06142358</v>
      </c>
      <c r="G49" s="187" t="n">
        <v>0.08617526</v>
      </c>
      <c r="H49" s="187" t="n">
        <v>0.42967388</v>
      </c>
      <c r="I49" s="187" t="n">
        <v>0.09514642</v>
      </c>
      <c r="J49" s="187" t="n">
        <v>1.69957603</v>
      </c>
      <c r="K49" s="188" t="inlineStr">
        <is>
          <t>2026-05-20 04:13</t>
        </is>
      </c>
      <c r="L49" s="109" t="inlineStr">
        <is>
          <t>yfinance</t>
        </is>
      </c>
    </row>
    <row r="50">
      <c r="A50" s="74" t="inlineStr">
        <is>
          <t>QCOM</t>
        </is>
      </c>
      <c r="B50" s="105" t="inlineStr">
        <is>
          <t>Qualcomm Inc</t>
        </is>
      </c>
      <c r="C50" s="185" t="n">
        <v>195.61</v>
      </c>
      <c r="D50" s="186" t="n">
        <v>19576900</v>
      </c>
      <c r="E50" s="187" t="n">
        <v>-0.03943233</v>
      </c>
      <c r="F50" s="187" t="n">
        <v>-0.06989681</v>
      </c>
      <c r="G50" s="187" t="n">
        <v>0.43619681</v>
      </c>
      <c r="H50" s="187" t="n">
        <v>0.30249354</v>
      </c>
      <c r="I50" s="187" t="n">
        <v>0.05336134</v>
      </c>
      <c r="J50" s="187" t="n">
        <v>0.64514794</v>
      </c>
      <c r="K50" s="188" t="inlineStr">
        <is>
          <t>2026-05-20 04:13</t>
        </is>
      </c>
      <c r="L50" s="109" t="inlineStr">
        <is>
          <t>yfinance</t>
        </is>
      </c>
    </row>
    <row r="51">
      <c r="A51" s="74" t="inlineStr">
        <is>
          <t>UNH</t>
        </is>
      </c>
      <c r="B51" s="105" t="inlineStr">
        <is>
          <t>UnitedHealth Group Inc</t>
        </is>
      </c>
      <c r="C51" s="185" t="n">
        <v>389.24</v>
      </c>
      <c r="D51" s="186" t="n">
        <v>5007700</v>
      </c>
      <c r="E51" s="187" t="n">
        <v>-0.00483219</v>
      </c>
      <c r="F51" s="187" t="n">
        <v>-0.01803785</v>
      </c>
      <c r="G51" s="187" t="n">
        <v>0.19902654</v>
      </c>
      <c r="H51" s="187" t="n">
        <v>0.26694683</v>
      </c>
      <c r="I51" s="187" t="n">
        <v>-0.22494664</v>
      </c>
      <c r="J51" s="187" t="n">
        <v>0.03774926</v>
      </c>
      <c r="K51" s="188" t="inlineStr">
        <is>
          <t>2026-05-20 04:13</t>
        </is>
      </c>
      <c r="L51" s="109" t="inlineStr">
        <is>
          <t>yfinance</t>
        </is>
      </c>
    </row>
    <row r="52">
      <c r="A52" s="74" t="inlineStr">
        <is>
          <t>TXN</t>
        </is>
      </c>
      <c r="B52" s="105" t="inlineStr">
        <is>
          <t>Texas Instruments Inc</t>
        </is>
      </c>
      <c r="C52" s="185" t="n">
        <v>302.31</v>
      </c>
      <c r="D52" s="186" t="n">
        <v>7295000</v>
      </c>
      <c r="E52" s="187" t="n">
        <v>0.00568859</v>
      </c>
      <c r="F52" s="187" t="n">
        <v>0.0241894</v>
      </c>
      <c r="G52" s="187" t="n">
        <v>0.32210441</v>
      </c>
      <c r="H52" s="187" t="n">
        <v>0.65015058</v>
      </c>
      <c r="I52" s="187" t="n">
        <v>0.64037904</v>
      </c>
      <c r="J52" s="187" t="n">
        <v>0.88057459</v>
      </c>
      <c r="K52" s="188" t="inlineStr">
        <is>
          <t>2026-05-20 04:13</t>
        </is>
      </c>
      <c r="L52" s="109" t="inlineStr">
        <is>
          <t>yfinance</t>
        </is>
      </c>
    </row>
    <row r="53">
      <c r="A53" s="74" t="inlineStr">
        <is>
          <t>SPMO</t>
        </is>
      </c>
      <c r="B53" s="105" t="inlineStr">
        <is>
          <t>INVESCO EXCHANGE TRADED FD TR II S&amp;P 500 MOMENTUM ETF</t>
        </is>
      </c>
      <c r="C53" s="185" t="n">
        <v>140.63</v>
      </c>
      <c r="D53" s="186" t="n">
        <v>2165600</v>
      </c>
      <c r="E53" s="187" t="n">
        <v>-0.00558615</v>
      </c>
      <c r="F53" s="187" t="n">
        <v>-0.02644508</v>
      </c>
      <c r="G53" s="187" t="n">
        <v>0.0961029</v>
      </c>
      <c r="H53" s="187" t="n">
        <v>0.34798128</v>
      </c>
      <c r="I53" s="187" t="n">
        <v>0.7666129699999999</v>
      </c>
      <c r="J53" s="187" t="n">
        <v>1.74002738</v>
      </c>
      <c r="K53" s="188" t="inlineStr">
        <is>
          <t>2026-05-20 04:13</t>
        </is>
      </c>
      <c r="L53" s="109" t="inlineStr">
        <is>
          <t>yfinance</t>
        </is>
      </c>
    </row>
    <row r="54">
      <c r="A54" s="74" t="inlineStr">
        <is>
          <t>CAT</t>
        </is>
      </c>
      <c r="B54" s="105" t="inlineStr">
        <is>
          <t>Caterpillar Inc</t>
        </is>
      </c>
      <c r="C54" s="185" t="n">
        <v>860.15</v>
      </c>
      <c r="D54" s="186" t="n">
        <v>3238900</v>
      </c>
      <c r="E54" s="187" t="n">
        <v>-0.00439839</v>
      </c>
      <c r="F54" s="187" t="n">
        <v>-0.05699782</v>
      </c>
      <c r="G54" s="187" t="n">
        <v>0.08448699</v>
      </c>
      <c r="H54" s="187" t="n">
        <v>1.46606062</v>
      </c>
      <c r="I54" s="187" t="n">
        <v>1.48009253</v>
      </c>
      <c r="J54" s="187" t="n">
        <v>3.00306663</v>
      </c>
      <c r="K54" s="188" t="inlineStr">
        <is>
          <t>2026-05-20 04:13</t>
        </is>
      </c>
      <c r="L54" s="109" t="inlineStr">
        <is>
          <t>yfinance</t>
        </is>
      </c>
    </row>
    <row r="55">
      <c r="A55" s="74" t="inlineStr">
        <is>
          <t>LRCX</t>
        </is>
      </c>
      <c r="B55" s="105" t="inlineStr">
        <is>
          <t>Lam Research Corp</t>
        </is>
      </c>
      <c r="C55" s="185" t="n">
        <v>273.38</v>
      </c>
      <c r="D55" s="186" t="n">
        <v>8303700</v>
      </c>
      <c r="E55" s="187" t="n">
        <v>-0.01647714</v>
      </c>
      <c r="F55" s="187" t="n">
        <v>-0.05483331</v>
      </c>
      <c r="G55" s="187" t="n">
        <v>0.0215994</v>
      </c>
      <c r="H55" s="187" t="n">
        <v>2.28540987</v>
      </c>
      <c r="I55" s="187" t="n">
        <v>2.05266824</v>
      </c>
      <c r="J55" s="187" t="n">
        <v>3.6010981</v>
      </c>
      <c r="K55" s="188" t="inlineStr">
        <is>
          <t>2026-05-20 04:13</t>
        </is>
      </c>
      <c r="L55" s="109" t="inlineStr">
        <is>
          <t>yfinance</t>
        </is>
      </c>
    </row>
    <row r="56">
      <c r="A56" s="74" t="inlineStr">
        <is>
          <t>SPY</t>
        </is>
      </c>
      <c r="B56" s="105" t="inlineStr">
        <is>
          <t>STATE STREET SPDR S&amp;P 500 ETF TRUST UNITS</t>
        </is>
      </c>
      <c r="C56" s="185" t="n">
        <v>733.73</v>
      </c>
      <c r="D56" s="186" t="n">
        <v>54129800</v>
      </c>
      <c r="E56" s="187" t="n">
        <v>-0.00666086</v>
      </c>
      <c r="F56" s="187" t="n">
        <v>-0.00602836</v>
      </c>
      <c r="G56" s="187" t="n">
        <v>0.03321875</v>
      </c>
      <c r="H56" s="187" t="n">
        <v>0.24761062</v>
      </c>
      <c r="I56" s="187" t="n">
        <v>0.41956137</v>
      </c>
      <c r="J56" s="187" t="n">
        <v>0.89171758</v>
      </c>
      <c r="K56" s="188" t="inlineStr">
        <is>
          <t>2026-05-20 04:13</t>
        </is>
      </c>
      <c r="L56" s="109" t="inlineStr">
        <is>
          <t>yfinance</t>
        </is>
      </c>
    </row>
    <row r="57">
      <c r="A57" s="74" t="inlineStr">
        <is>
          <t>BRK.B</t>
        </is>
      </c>
      <c r="B57" s="105" t="inlineStr">
        <is>
          <t>Berkshire Hathaway Inc Class B</t>
        </is>
      </c>
      <c r="C57" s="185" t="n">
        <v>480.46</v>
      </c>
      <c r="D57" s="186" t="n">
        <v>5586100</v>
      </c>
      <c r="E57" s="187" t="n">
        <v>-0.01621691</v>
      </c>
      <c r="F57" s="187" t="n">
        <v>-0.00927912</v>
      </c>
      <c r="G57" s="187" t="n">
        <v>0.01238991</v>
      </c>
      <c r="H57" s="187" t="n">
        <v>-0.06231586</v>
      </c>
      <c r="I57" s="187" t="n">
        <v>0.15234803</v>
      </c>
      <c r="J57" s="187" t="n">
        <v>0.67565296</v>
      </c>
      <c r="K57" s="188" t="inlineStr">
        <is>
          <t>2026-05-20 04:13</t>
        </is>
      </c>
      <c r="L57" s="109" t="inlineStr">
        <is>
          <t>yfinance</t>
        </is>
      </c>
    </row>
    <row r="58">
      <c r="A58" s="74" t="inlineStr">
        <is>
          <t>SPYI</t>
        </is>
      </c>
      <c r="B58" s="105" t="inlineStr">
        <is>
          <t>SHP ETF TR NEOS S&amp;P 500 HIGH INCOME ETF</t>
        </is>
      </c>
      <c r="C58" s="185" t="n">
        <v>53.33</v>
      </c>
      <c r="D58" s="186" t="n">
        <v>3214400</v>
      </c>
      <c r="E58" s="187" t="n">
        <v>-0.00392228</v>
      </c>
      <c r="F58" s="187" t="n">
        <v>-0.00243167</v>
      </c>
      <c r="G58" s="187" t="n">
        <v>0.02513559</v>
      </c>
      <c r="H58" s="187" t="n">
        <v>0.21245062</v>
      </c>
      <c r="I58" s="187" t="n">
        <v>0.36003277</v>
      </c>
      <c r="J58" s="187" t="n"/>
      <c r="K58" s="188" t="inlineStr">
        <is>
          <t>2026-05-20 04:13</t>
        </is>
      </c>
      <c r="L58" s="109" t="inlineStr">
        <is>
          <t>yfinance</t>
        </is>
      </c>
    </row>
    <row r="59">
      <c r="A59" s="74" t="inlineStr">
        <is>
          <t>VTV</t>
        </is>
      </c>
      <c r="B59" s="105" t="inlineStr">
        <is>
          <t>VANGUARD INDEX FUNDS VANGUARD VALUE ETF</t>
        </is>
      </c>
      <c r="C59" s="185" t="n">
        <v>207.08</v>
      </c>
      <c r="D59" s="186" t="n">
        <v>2317300</v>
      </c>
      <c r="E59" s="187" t="n">
        <v>-0.00144663</v>
      </c>
      <c r="F59" s="187" t="n">
        <v>-0.00685815</v>
      </c>
      <c r="G59" s="187" t="n">
        <v>0.01390519</v>
      </c>
      <c r="H59" s="187" t="n">
        <v>0.22040706</v>
      </c>
      <c r="I59" s="187" t="n">
        <v>0.32286755</v>
      </c>
      <c r="J59" s="187" t="n">
        <v>0.68208848</v>
      </c>
      <c r="K59" s="188" t="inlineStr">
        <is>
          <t>2026-05-20 04:13</t>
        </is>
      </c>
      <c r="L59" s="109" t="inlineStr">
        <is>
          <t>yfinance</t>
        </is>
      </c>
    </row>
    <row r="60">
      <c r="A60" s="74" t="inlineStr">
        <is>
          <t>WMT</t>
        </is>
      </c>
      <c r="B60" s="105" t="inlineStr">
        <is>
          <t>Walmart Inc</t>
        </is>
      </c>
      <c r="C60" s="185" t="n">
        <v>134.2</v>
      </c>
      <c r="D60" s="186" t="n">
        <v>16943100</v>
      </c>
      <c r="E60" s="187" t="n">
        <v>0.00644968</v>
      </c>
      <c r="F60" s="187" t="n">
        <v>0.02953579</v>
      </c>
      <c r="G60" s="187" t="n">
        <v>0.05455769</v>
      </c>
      <c r="H60" s="187" t="n">
        <v>0.37914812</v>
      </c>
      <c r="I60" s="187" t="n">
        <v>1.11464266</v>
      </c>
      <c r="J60" s="187" t="n">
        <v>2.013154</v>
      </c>
      <c r="K60" s="188" t="inlineStr">
        <is>
          <t>2026-05-20 04:13</t>
        </is>
      </c>
      <c r="L60" s="109" t="inlineStr">
        <is>
          <t>yfinance</t>
        </is>
      </c>
    </row>
    <row r="61">
      <c r="A61" s="74" t="inlineStr">
        <is>
          <t>JPM</t>
        </is>
      </c>
      <c r="B61" s="105" t="inlineStr">
        <is>
          <t>JPMorgan Chase &amp; Co</t>
        </is>
      </c>
      <c r="C61" s="185" t="n">
        <v>295.7</v>
      </c>
      <c r="D61" s="186" t="n">
        <v>8062500</v>
      </c>
      <c r="E61" s="187" t="n">
        <v>-0.01672596</v>
      </c>
      <c r="F61" s="187" t="n">
        <v>-0.03011018</v>
      </c>
      <c r="G61" s="187" t="n">
        <v>-0.04702052</v>
      </c>
      <c r="H61" s="187" t="n">
        <v>0.13806554</v>
      </c>
      <c r="I61" s="187" t="n">
        <v>0.50613826</v>
      </c>
      <c r="J61" s="187" t="n">
        <v>1.08621532</v>
      </c>
      <c r="K61" s="188" t="inlineStr">
        <is>
          <t>2026-05-20 04:13</t>
        </is>
      </c>
      <c r="L61" s="109" t="inlineStr">
        <is>
          <t>yfinance</t>
        </is>
      </c>
    </row>
    <row r="62">
      <c r="A62" s="74" t="inlineStr">
        <is>
          <t>CGDV</t>
        </is>
      </c>
      <c r="B62" s="105" t="inlineStr">
        <is>
          <t>CAPITAL GROUP DIVIDEND VALUE ETF</t>
        </is>
      </c>
      <c r="C62" s="185" t="n">
        <v>47.3</v>
      </c>
      <c r="D62" s="186" t="n">
        <v>3302800</v>
      </c>
      <c r="E62" s="187" t="n">
        <v>-0.008385780000000001</v>
      </c>
      <c r="F62" s="187" t="n">
        <v>-0.00379108</v>
      </c>
      <c r="G62" s="187" t="n">
        <v>0.02870813</v>
      </c>
      <c r="H62" s="187" t="n">
        <v>0.2850915</v>
      </c>
      <c r="I62" s="187" t="n">
        <v>0.46729892</v>
      </c>
      <c r="J62" s="187" t="n"/>
      <c r="K62" s="188" t="inlineStr">
        <is>
          <t>2026-05-20 04:13</t>
        </is>
      </c>
      <c r="L62" s="109" t="inlineStr">
        <is>
          <t>yfinance</t>
        </is>
      </c>
    </row>
    <row r="63">
      <c r="A63" s="74" t="inlineStr">
        <is>
          <t>LLY</t>
        </is>
      </c>
      <c r="B63" s="105" t="inlineStr">
        <is>
          <t>Eli Lilly and Co</t>
        </is>
      </c>
      <c r="C63" s="185" t="n">
        <v>1021.41</v>
      </c>
      <c r="D63" s="186" t="n">
        <v>3792500</v>
      </c>
      <c r="E63" s="187" t="n">
        <v>0.03372157</v>
      </c>
      <c r="F63" s="187" t="n">
        <v>0.03363901</v>
      </c>
      <c r="G63" s="187" t="n">
        <v>0.10370563</v>
      </c>
      <c r="H63" s="187" t="n">
        <v>0.36223261</v>
      </c>
      <c r="I63" s="187" t="n">
        <v>0.34503312</v>
      </c>
      <c r="J63" s="187" t="n">
        <v>4.36638344</v>
      </c>
      <c r="K63" s="188" t="inlineStr">
        <is>
          <t>2026-05-20 04:13</t>
        </is>
      </c>
      <c r="L63" s="109" t="inlineStr">
        <is>
          <t>yfinance</t>
        </is>
      </c>
    </row>
    <row r="64">
      <c r="A64" s="74" t="inlineStr">
        <is>
          <t>GE</t>
        </is>
      </c>
      <c r="B64" s="105" t="inlineStr">
        <is>
          <t>GE Aerospace</t>
        </is>
      </c>
      <c r="C64" s="185" t="n">
        <v>285.28</v>
      </c>
      <c r="D64" s="186" t="n">
        <v>5237500</v>
      </c>
      <c r="E64" s="187" t="n">
        <v>-0.00248257</v>
      </c>
      <c r="F64" s="187" t="n">
        <v>-0.04091448</v>
      </c>
      <c r="G64" s="187" t="n">
        <v>-0.06198009</v>
      </c>
      <c r="H64" s="187" t="n">
        <v>0.21887887</v>
      </c>
      <c r="I64" s="187" t="n">
        <v>0.80565262</v>
      </c>
      <c r="J64" s="187" t="n">
        <v>3.48659764</v>
      </c>
      <c r="K64" s="188" t="inlineStr">
        <is>
          <t>2026-05-20 04:13</t>
        </is>
      </c>
      <c r="L64" s="109" t="inlineStr">
        <is>
          <t>yfinance</t>
        </is>
      </c>
    </row>
    <row r="65">
      <c r="A65" s="74" t="inlineStr">
        <is>
          <t>RTX</t>
        </is>
      </c>
      <c r="B65" s="105" t="inlineStr">
        <is>
          <t>RTX Corp</t>
        </is>
      </c>
      <c r="C65" s="185" t="n">
        <v>174.49</v>
      </c>
      <c r="D65" s="186" t="n">
        <v>5576000</v>
      </c>
      <c r="E65" s="187" t="n">
        <v>-0.00829776</v>
      </c>
      <c r="F65" s="187" t="n">
        <v>-0.02459609</v>
      </c>
      <c r="G65" s="187" t="n">
        <v>-0.11164847</v>
      </c>
      <c r="H65" s="187" t="n">
        <v>0.29326186</v>
      </c>
      <c r="I65" s="187" t="n">
        <v>0.73010849</v>
      </c>
      <c r="J65" s="187" t="n">
        <v>1.27598158</v>
      </c>
      <c r="K65" s="188" t="inlineStr">
        <is>
          <t>2026-05-20 04:13</t>
        </is>
      </c>
      <c r="L65" s="109" t="inlineStr">
        <is>
          <t>yfinance</t>
        </is>
      </c>
    </row>
    <row r="66">
      <c r="A66" s="74" t="inlineStr">
        <is>
          <t>AMAT</t>
        </is>
      </c>
      <c r="B66" s="105" t="inlineStr">
        <is>
          <t>Applied Materials Inc</t>
        </is>
      </c>
      <c r="C66" s="185" t="n">
        <v>406.91</v>
      </c>
      <c r="D66" s="186" t="n">
        <v>8412100</v>
      </c>
      <c r="E66" s="187" t="n">
        <v>-0.01610369</v>
      </c>
      <c r="F66" s="187" t="n">
        <v>-0.05633119</v>
      </c>
      <c r="G66" s="187" t="n">
        <v>0.02511715</v>
      </c>
      <c r="H66" s="187" t="n">
        <v>1.47408796</v>
      </c>
      <c r="I66" s="187" t="n">
        <v>0.95212861</v>
      </c>
      <c r="J66" s="187" t="n">
        <v>2.25862119</v>
      </c>
      <c r="K66" s="188" t="inlineStr">
        <is>
          <t>2026-05-20 04:13</t>
        </is>
      </c>
      <c r="L66" s="109" t="inlineStr">
        <is>
          <t>yfinance</t>
        </is>
      </c>
    </row>
    <row r="67">
      <c r="A67" s="74" t="inlineStr">
        <is>
          <t>CARR</t>
        </is>
      </c>
      <c r="B67" s="105" t="inlineStr">
        <is>
          <t>Carrier Global Corp Ordinary Shares</t>
        </is>
      </c>
      <c r="C67" s="185" t="n">
        <v>61.44</v>
      </c>
      <c r="D67" s="186" t="n">
        <v>7208600</v>
      </c>
      <c r="E67" s="187" t="n">
        <v>-0.04758957</v>
      </c>
      <c r="F67" s="187" t="n">
        <v>-0.06284318</v>
      </c>
      <c r="G67" s="187" t="n">
        <v>0.00552579</v>
      </c>
      <c r="H67" s="187" t="n">
        <v>-0.17783885</v>
      </c>
      <c r="I67" s="187" t="n">
        <v>-0.03252263</v>
      </c>
      <c r="J67" s="187" t="n">
        <v>0.50113577</v>
      </c>
      <c r="K67" s="188" t="inlineStr">
        <is>
          <t>2026-05-20 04:13</t>
        </is>
      </c>
      <c r="L67" s="109" t="inlineStr">
        <is>
          <t>yfinance</t>
        </is>
      </c>
    </row>
    <row r="68">
      <c r="A68" s="74" t="inlineStr">
        <is>
          <t>DIVO</t>
        </is>
      </c>
      <c r="B68" s="105" t="inlineStr">
        <is>
          <t>AMPLIFY ETF TR AMPLIFY CWP ENHANCED DIVIDEND INCOME ETF</t>
        </is>
      </c>
      <c r="C68" s="185" t="n">
        <v>45.5</v>
      </c>
      <c r="D68" s="186" t="n">
        <v>601600</v>
      </c>
      <c r="E68" s="187" t="n">
        <v>-0.00241177</v>
      </c>
      <c r="F68" s="187" t="n">
        <v>-0.00219295</v>
      </c>
      <c r="G68" s="187" t="n">
        <v>-0.01313364</v>
      </c>
      <c r="H68" s="187" t="n">
        <v>0.16784289</v>
      </c>
      <c r="I68" s="187" t="n">
        <v>0.29841771</v>
      </c>
      <c r="J68" s="187" t="n">
        <v>0.64779686</v>
      </c>
      <c r="K68" s="188" t="inlineStr">
        <is>
          <t>2026-05-20 04:13</t>
        </is>
      </c>
      <c r="L68" s="109" t="inlineStr">
        <is>
          <t>yfinance</t>
        </is>
      </c>
    </row>
    <row r="69">
      <c r="A69" s="74" t="inlineStr">
        <is>
          <t>V</t>
        </is>
      </c>
      <c r="B69" s="105" t="inlineStr">
        <is>
          <t>Visa Inc Class A</t>
        </is>
      </c>
      <c r="C69" s="185" t="n">
        <v>329.91</v>
      </c>
      <c r="D69" s="186" t="n">
        <v>12855800</v>
      </c>
      <c r="E69" s="187" t="n">
        <v>-0.0082071</v>
      </c>
      <c r="F69" s="187" t="n">
        <v>0.01069172</v>
      </c>
      <c r="G69" s="187" t="n">
        <v>0.04281733</v>
      </c>
      <c r="H69" s="187" t="n">
        <v>-0.09617854000000001</v>
      </c>
      <c r="I69" s="187" t="n">
        <v>0.19576281</v>
      </c>
      <c r="J69" s="187" t="n">
        <v>0.51244838</v>
      </c>
      <c r="K69" s="188" t="inlineStr">
        <is>
          <t>2026-05-20 04:13</t>
        </is>
      </c>
      <c r="L69" s="109" t="inlineStr">
        <is>
          <t>yfinance</t>
        </is>
      </c>
    </row>
    <row r="70">
      <c r="A70" s="74" t="inlineStr">
        <is>
          <t>SOFR</t>
        </is>
      </c>
      <c r="B70" s="105" t="inlineStr">
        <is>
          <t>Amplify Samsung SOFR ETF</t>
        </is>
      </c>
      <c r="C70" s="185" t="n">
        <v>100.32</v>
      </c>
      <c r="D70" s="186" t="n">
        <v>8400</v>
      </c>
      <c r="E70" s="187" t="n">
        <v>0.00014954</v>
      </c>
      <c r="F70" s="187" t="n">
        <v>0.00049868</v>
      </c>
      <c r="G70" s="187" t="n">
        <v>0.00323521</v>
      </c>
      <c r="H70" s="187" t="n">
        <v>0.03980704</v>
      </c>
      <c r="I70" s="187" t="n">
        <v>0.08981407</v>
      </c>
      <c r="J70" s="187" t="n"/>
      <c r="K70" s="188" t="inlineStr">
        <is>
          <t>2026-05-20 04:13</t>
        </is>
      </c>
      <c r="L70" s="109" t="inlineStr">
        <is>
          <t>yfinance</t>
        </is>
      </c>
    </row>
    <row r="71">
      <c r="A71" s="74" t="inlineStr">
        <is>
          <t>TJX</t>
        </is>
      </c>
      <c r="B71" s="105" t="inlineStr">
        <is>
          <t>TJX Companies Inc</t>
        </is>
      </c>
      <c r="C71" s="185" t="n">
        <v>150.68</v>
      </c>
      <c r="D71" s="186" t="n">
        <v>8725100</v>
      </c>
      <c r="E71" s="187" t="n">
        <v>0.00286185</v>
      </c>
      <c r="F71" s="187" t="n">
        <v>0.0060797</v>
      </c>
      <c r="G71" s="187" t="n">
        <v>-0.05916399</v>
      </c>
      <c r="H71" s="187" t="n">
        <v>0.12954169</v>
      </c>
      <c r="I71" s="187" t="n">
        <v>0.54041122</v>
      </c>
      <c r="J71" s="187" t="n">
        <v>1.40554273</v>
      </c>
      <c r="K71" s="188" t="inlineStr">
        <is>
          <t>2026-05-20 04:13</t>
        </is>
      </c>
      <c r="L71" s="109" t="inlineStr">
        <is>
          <t>yfinance</t>
        </is>
      </c>
    </row>
    <row r="72">
      <c r="A72" s="74" t="inlineStr">
        <is>
          <t>GS</t>
        </is>
      </c>
      <c r="B72" s="105" t="inlineStr">
        <is>
          <t>The Goldman Sachs Group Inc</t>
        </is>
      </c>
      <c r="C72" s="185" t="n">
        <v>928.74</v>
      </c>
      <c r="D72" s="186" t="n">
        <v>1758000</v>
      </c>
      <c r="E72" s="187" t="n">
        <v>-0.0186187</v>
      </c>
      <c r="F72" s="187" t="n">
        <v>-0.01814149</v>
      </c>
      <c r="G72" s="187" t="n">
        <v>0.0030131</v>
      </c>
      <c r="H72" s="187" t="n">
        <v>0.5482291500000001</v>
      </c>
      <c r="I72" s="187" t="n">
        <v>1.07152359</v>
      </c>
      <c r="J72" s="187" t="n">
        <v>1.9108587</v>
      </c>
      <c r="K72" s="188" t="inlineStr">
        <is>
          <t>2026-05-20 04:13</t>
        </is>
      </c>
      <c r="L72" s="109" t="inlineStr">
        <is>
          <t>yfinance</t>
        </is>
      </c>
    </row>
    <row r="73">
      <c r="A73" s="74" t="inlineStr">
        <is>
          <t>AXP</t>
        </is>
      </c>
      <c r="B73" s="105" t="inlineStr">
        <is>
          <t>American Express Co</t>
        </is>
      </c>
      <c r="C73" s="185" t="n">
        <v>309.31</v>
      </c>
      <c r="D73" s="186" t="n">
        <v>2917400</v>
      </c>
      <c r="E73" s="187" t="n">
        <v>-0.00938378</v>
      </c>
      <c r="F73" s="187" t="n">
        <v>-0.01590786</v>
      </c>
      <c r="G73" s="187" t="n">
        <v>-0.06747265</v>
      </c>
      <c r="H73" s="187" t="n">
        <v>0.04427737</v>
      </c>
      <c r="I73" s="187" t="n">
        <v>0.30173448</v>
      </c>
      <c r="J73" s="187" t="n">
        <v>1.11309815</v>
      </c>
      <c r="K73" s="188" t="inlineStr">
        <is>
          <t>2026-05-20 04:13</t>
        </is>
      </c>
      <c r="L73" s="109" t="inlineStr">
        <is>
          <t>yfinance</t>
        </is>
      </c>
    </row>
    <row r="74">
      <c r="A74" s="74" t="inlineStr">
        <is>
          <t>FDRXX</t>
        </is>
      </c>
      <c r="B74" s="105" t="inlineStr">
        <is>
          <t>Fidelity Phillips Street Trust - Fidelity Cash Reserves</t>
        </is>
      </c>
      <c r="C74" s="185" t="n">
        <v>1</v>
      </c>
      <c r="D74" s="186" t="n"/>
      <c r="E74" s="187" t="n"/>
      <c r="F74" s="187" t="n"/>
      <c r="G74" s="187" t="n"/>
      <c r="H74" s="187" t="n"/>
      <c r="I74" s="187" t="n"/>
      <c r="J74" s="187" t="n"/>
      <c r="K74" s="188" t="inlineStr">
        <is>
          <t>2026-05-20 04:13</t>
        </is>
      </c>
      <c r="L74" s="109" t="inlineStr">
        <is>
          <t>fixed $1.00</t>
        </is>
      </c>
    </row>
    <row r="75">
      <c r="A75" s="74" t="inlineStr">
        <is>
          <t>AIQ</t>
        </is>
      </c>
      <c r="B75" s="105" t="inlineStr">
        <is>
          <t>GLOBAL X FUNDS GLOBAL X ARTIFICIAL INTELLIGENCE &amp; TECHNOLOGY ETF</t>
        </is>
      </c>
      <c r="C75" s="185" t="n">
        <v>60.4</v>
      </c>
      <c r="D75" s="186" t="n">
        <v>2304900</v>
      </c>
      <c r="E75" s="187" t="n">
        <v>-0.00527009</v>
      </c>
      <c r="F75" s="187" t="n">
        <v>-0.01016059</v>
      </c>
      <c r="G75" s="187" t="n">
        <v>0.11645108</v>
      </c>
      <c r="H75" s="187" t="n">
        <v>0.48045589</v>
      </c>
      <c r="I75" s="187" t="n">
        <v>0.7670941999999999</v>
      </c>
      <c r="J75" s="187" t="n">
        <v>1.15678795</v>
      </c>
      <c r="K75" s="188" t="inlineStr">
        <is>
          <t>2026-05-20 04:13</t>
        </is>
      </c>
      <c r="L75" s="109" t="inlineStr">
        <is>
          <t>yfinance</t>
        </is>
      </c>
    </row>
    <row r="76">
      <c r="A76" s="74" t="inlineStr">
        <is>
          <t>CSCO</t>
        </is>
      </c>
      <c r="B76" s="105" t="inlineStr">
        <is>
          <t>Cisco Systems Inc</t>
        </is>
      </c>
      <c r="C76" s="185" t="n">
        <v>115.38</v>
      </c>
      <c r="D76" s="186" t="n">
        <v>32497400</v>
      </c>
      <c r="E76" s="187" t="n">
        <v>-0.02944145</v>
      </c>
      <c r="F76" s="187" t="n">
        <v>0.16205052</v>
      </c>
      <c r="G76" s="187" t="n">
        <v>0.3377391</v>
      </c>
      <c r="H76" s="187" t="n">
        <v>0.84661679</v>
      </c>
      <c r="I76" s="187" t="n">
        <v>1.52398856</v>
      </c>
      <c r="J76" s="187" t="n">
        <v>1.51880927</v>
      </c>
      <c r="K76" s="188" t="inlineStr">
        <is>
          <t>2026-05-20 04:13</t>
        </is>
      </c>
      <c r="L76" s="109" t="inlineStr">
        <is>
          <t>yfinance</t>
        </is>
      </c>
    </row>
    <row r="77">
      <c r="A77" s="74" t="inlineStr">
        <is>
          <t>ARKQ</t>
        </is>
      </c>
      <c r="B77" s="105" t="inlineStr">
        <is>
          <t>ARK ETF TR AUTONOMOUS TECHNOLOGY &amp; ROBOTICS ETF</t>
        </is>
      </c>
      <c r="C77" s="185" t="n">
        <v>129.62</v>
      </c>
      <c r="D77" s="186" t="n">
        <v>172000</v>
      </c>
      <c r="E77" s="187" t="n">
        <v>-0.01474614</v>
      </c>
      <c r="F77" s="187" t="n">
        <v>-0.04339487</v>
      </c>
      <c r="G77" s="187" t="n">
        <v>-0.00154069</v>
      </c>
      <c r="H77" s="187" t="n">
        <v>0.64538891</v>
      </c>
      <c r="I77" s="187" t="n">
        <v>1.31273934</v>
      </c>
      <c r="J77" s="187" t="n">
        <v>0.67156576</v>
      </c>
      <c r="K77" s="188" t="inlineStr">
        <is>
          <t>2026-05-20 04:13</t>
        </is>
      </c>
      <c r="L77" s="109" t="inlineStr">
        <is>
          <t>yfinance</t>
        </is>
      </c>
    </row>
    <row r="78">
      <c r="A78" s="74" t="inlineStr">
        <is>
          <t>PLTR</t>
        </is>
      </c>
      <c r="B78" s="105" t="inlineStr">
        <is>
          <t>Palantir Technologies Inc Ordinary Shares - Class A</t>
        </is>
      </c>
      <c r="C78" s="185" t="n">
        <v>135.26</v>
      </c>
      <c r="D78" s="186" t="n">
        <v>29701300</v>
      </c>
      <c r="E78" s="187" t="n">
        <v>0.00088793</v>
      </c>
      <c r="F78" s="187" t="n">
        <v>-0.00544122</v>
      </c>
      <c r="G78" s="187" t="n">
        <v>-0.07602982</v>
      </c>
      <c r="H78" s="187" t="n">
        <v>0.07068782</v>
      </c>
      <c r="I78" s="187" t="n">
        <v>5.21599233</v>
      </c>
      <c r="J78" s="187" t="n">
        <v>5.56283312</v>
      </c>
      <c r="K78" s="188" t="inlineStr">
        <is>
          <t>2026-05-20 04:13</t>
        </is>
      </c>
      <c r="L78" s="109" t="inlineStr">
        <is>
          <t>yfinance</t>
        </is>
      </c>
    </row>
    <row r="79">
      <c r="A79" s="74" t="inlineStr">
        <is>
          <t>DE</t>
        </is>
      </c>
      <c r="B79" s="105" t="inlineStr">
        <is>
          <t>Deere &amp; Co</t>
        </is>
      </c>
      <c r="C79" s="185" t="n">
        <v>558.0700000000001</v>
      </c>
      <c r="D79" s="186" t="n">
        <v>1027900</v>
      </c>
      <c r="E79" s="187" t="n">
        <v>-0.01137307</v>
      </c>
      <c r="F79" s="187" t="n">
        <v>-0.05281827</v>
      </c>
      <c r="G79" s="187" t="n">
        <v>-0.05485556</v>
      </c>
      <c r="H79" s="187" t="n">
        <v>0.06710465</v>
      </c>
      <c r="I79" s="187" t="n">
        <v>0.44521826</v>
      </c>
      <c r="J79" s="187" t="n">
        <v>0.67777037</v>
      </c>
      <c r="K79" s="188" t="inlineStr">
        <is>
          <t>2026-05-20 04:13</t>
        </is>
      </c>
      <c r="L79" s="109" t="inlineStr">
        <is>
          <t>yfinance</t>
        </is>
      </c>
    </row>
    <row r="80">
      <c r="A80" s="74" t="inlineStr">
        <is>
          <t>RKLB</t>
        </is>
      </c>
      <c r="B80" s="105" t="inlineStr">
        <is>
          <t>Rocket Lab Corp</t>
        </is>
      </c>
      <c r="C80" s="185" t="n">
        <v>127.31</v>
      </c>
      <c r="D80" s="186" t="n">
        <v>29996300</v>
      </c>
      <c r="E80" s="187" t="n">
        <v>-0.02935351</v>
      </c>
      <c r="F80" s="187" t="n">
        <v>0.08293637</v>
      </c>
      <c r="G80" s="187" t="n">
        <v>0.50129709</v>
      </c>
      <c r="H80" s="187" t="n">
        <v>3.93449618</v>
      </c>
      <c r="I80" s="187" t="n">
        <v>28.95529354</v>
      </c>
      <c r="J80" s="187" t="n">
        <v>11.78212822</v>
      </c>
      <c r="K80" s="188" t="inlineStr">
        <is>
          <t>2026-05-20 04:13</t>
        </is>
      </c>
      <c r="L80" s="109" t="inlineStr">
        <is>
          <t>yfinance</t>
        </is>
      </c>
    </row>
    <row r="81">
      <c r="A81" s="74" t="inlineStr">
        <is>
          <t>KTOS</t>
        </is>
      </c>
      <c r="B81" s="105" t="inlineStr">
        <is>
          <t>Kratos Defense &amp; Security Solutions Inc</t>
        </is>
      </c>
      <c r="C81" s="185" t="n">
        <v>53.47</v>
      </c>
      <c r="D81" s="186" t="n">
        <v>2747900</v>
      </c>
      <c r="E81" s="187" t="n">
        <v>-0.01383253</v>
      </c>
      <c r="F81" s="187" t="n">
        <v>-0.0673295</v>
      </c>
      <c r="G81" s="187" t="n">
        <v>-0.24679528</v>
      </c>
      <c r="H81" s="187" t="n">
        <v>0.52206091</v>
      </c>
      <c r="I81" s="187" t="n">
        <v>1.54255823</v>
      </c>
      <c r="J81" s="187" t="n">
        <v>1.23070516</v>
      </c>
      <c r="K81" s="188" t="inlineStr">
        <is>
          <t>2026-05-20 04:13</t>
        </is>
      </c>
      <c r="L81" s="109" t="inlineStr">
        <is>
          <t>yfinance</t>
        </is>
      </c>
    </row>
    <row r="82">
      <c r="A82" s="74" t="inlineStr">
        <is>
          <t>TER</t>
        </is>
      </c>
      <c r="B82" s="105" t="inlineStr">
        <is>
          <t>Teradyne Inc</t>
        </is>
      </c>
      <c r="C82" s="185" t="n">
        <v>321.52</v>
      </c>
      <c r="D82" s="186" t="n">
        <v>3486200</v>
      </c>
      <c r="E82" s="187" t="n">
        <v>0.00146395</v>
      </c>
      <c r="F82" s="187" t="n">
        <v>-0.10302698</v>
      </c>
      <c r="G82" s="187" t="n">
        <v>-0.15474004</v>
      </c>
      <c r="H82" s="187" t="n">
        <v>2.96111064</v>
      </c>
      <c r="I82" s="187" t="n">
        <v>1.45621299</v>
      </c>
      <c r="J82" s="187" t="n">
        <v>1.59029864</v>
      </c>
      <c r="K82" s="188" t="inlineStr">
        <is>
          <t>2026-05-20 04:13</t>
        </is>
      </c>
      <c r="L82" s="109" t="inlineStr">
        <is>
          <t>yfinance</t>
        </is>
      </c>
    </row>
    <row r="83">
      <c r="A83" s="74" t="inlineStr">
        <is>
          <t>SMH</t>
        </is>
      </c>
      <c r="B83" s="105" t="inlineStr">
        <is>
          <t>VANECK ETF TR VANECK SEMICONDUCTOR ETF</t>
        </is>
      </c>
      <c r="C83" s="185" t="n">
        <v>543.96</v>
      </c>
      <c r="D83" s="186" t="n">
        <v>11882000</v>
      </c>
      <c r="E83" s="187" t="n">
        <v>-0.00402803</v>
      </c>
      <c r="F83" s="187" t="n">
        <v>-0.0308062</v>
      </c>
      <c r="G83" s="187" t="n">
        <v>0.17192351</v>
      </c>
      <c r="H83" s="187" t="n">
        <v>1.21800989</v>
      </c>
      <c r="I83" s="187" t="n">
        <v>1.38033028</v>
      </c>
      <c r="J83" s="187" t="n">
        <v>3.68401634</v>
      </c>
      <c r="K83" s="188" t="inlineStr">
        <is>
          <t>2026-05-20 04:13</t>
        </is>
      </c>
      <c r="L83" s="109" t="inlineStr">
        <is>
          <t>yfinance</t>
        </is>
      </c>
    </row>
    <row r="84">
      <c r="A84" s="74" t="inlineStr">
        <is>
          <t>ADI</t>
        </is>
      </c>
      <c r="B84" s="105" t="inlineStr">
        <is>
          <t>Analog Devices Inc</t>
        </is>
      </c>
      <c r="C84" s="185" t="n">
        <v>414.31</v>
      </c>
      <c r="D84" s="186" t="n">
        <v>6181000</v>
      </c>
      <c r="E84" s="187" t="n">
        <v>-0.01020113</v>
      </c>
      <c r="F84" s="187" t="n">
        <v>-0.01272488</v>
      </c>
      <c r="G84" s="187" t="n">
        <v>0.11538561</v>
      </c>
      <c r="H84" s="187" t="n">
        <v>0.87330149</v>
      </c>
      <c r="I84" s="187" t="n">
        <v>0.99744348</v>
      </c>
      <c r="J84" s="187" t="n">
        <v>1.83188431</v>
      </c>
      <c r="K84" s="188" t="inlineStr">
        <is>
          <t>2026-05-20 04:13</t>
        </is>
      </c>
      <c r="L84" s="109" t="inlineStr">
        <is>
          <t>yfinance</t>
        </is>
      </c>
    </row>
    <row r="85">
      <c r="A85" s="74" t="inlineStr">
        <is>
          <t>KLAC</t>
        </is>
      </c>
      <c r="B85" s="105" t="inlineStr">
        <is>
          <t>KLA Corp</t>
        </is>
      </c>
      <c r="C85" s="185" t="n">
        <v>1740.58</v>
      </c>
      <c r="D85" s="186" t="n">
        <v>1117000</v>
      </c>
      <c r="E85" s="187" t="n">
        <v>-0.00903527</v>
      </c>
      <c r="F85" s="187" t="n">
        <v>-0.03784384</v>
      </c>
      <c r="G85" s="187" t="n">
        <v>-0.02715046</v>
      </c>
      <c r="H85" s="187" t="n">
        <v>1.2258907</v>
      </c>
      <c r="I85" s="187" t="n">
        <v>1.36477389</v>
      </c>
      <c r="J85" s="187" t="n">
        <v>4.84341499</v>
      </c>
      <c r="K85" s="188" t="inlineStr">
        <is>
          <t>2026-05-20 04:13</t>
        </is>
      </c>
      <c r="L85" s="109" t="inlineStr">
        <is>
          <t>yfinance</t>
        </is>
      </c>
    </row>
    <row r="86">
      <c r="A86" s="74" t="inlineStr">
        <is>
          <t>QQQ</t>
        </is>
      </c>
      <c r="B86" s="105" t="inlineStr">
        <is>
          <t>INVESCO QQQ TR UNIT SER 1</t>
        </is>
      </c>
      <c r="C86" s="185" t="n">
        <v>701.53</v>
      </c>
      <c r="D86" s="186" t="n">
        <v>46590800</v>
      </c>
      <c r="E86" s="187" t="n">
        <v>-0.00616249</v>
      </c>
      <c r="F86" s="187" t="n">
        <v>-0.00807358</v>
      </c>
      <c r="G86" s="187" t="n">
        <v>0.08118988000000001</v>
      </c>
      <c r="H86" s="187" t="n">
        <v>0.35040657</v>
      </c>
      <c r="I86" s="187" t="n">
        <v>0.56993642</v>
      </c>
      <c r="J86" s="187" t="n">
        <v>1.19841991</v>
      </c>
      <c r="K86" s="188" t="inlineStr">
        <is>
          <t>2026-05-20 04:13</t>
        </is>
      </c>
      <c r="L86" s="109" t="inlineStr">
        <is>
          <t>yfinance</t>
        </is>
      </c>
    </row>
    <row r="87">
      <c r="A87" s="74" t="inlineStr">
        <is>
          <t>BTCI</t>
        </is>
      </c>
      <c r="B87" s="105" t="inlineStr">
        <is>
          <t>NEOS ETF TR NEOS BITCOIN HIGH INCOME ETF</t>
        </is>
      </c>
      <c r="C87" s="185" t="n">
        <v>36.16</v>
      </c>
      <c r="D87" s="186" t="n">
        <v>690900</v>
      </c>
      <c r="E87" s="187" t="n">
        <v>0.00249515</v>
      </c>
      <c r="F87" s="187" t="n">
        <v>-0.03676082</v>
      </c>
      <c r="G87" s="187" t="n">
        <v>0.0115185</v>
      </c>
      <c r="H87" s="187" t="n">
        <v>-0.21447848</v>
      </c>
      <c r="I87" s="187" t="n"/>
      <c r="J87" s="187" t="n"/>
      <c r="K87" s="188" t="inlineStr">
        <is>
          <t>2026-05-20 04:13</t>
        </is>
      </c>
      <c r="L87" s="109" t="inlineStr">
        <is>
          <t>yfinance</t>
        </is>
      </c>
    </row>
    <row r="88">
      <c r="A88" s="74" t="inlineStr">
        <is>
          <t>NOSXX</t>
        </is>
      </c>
      <c r="B88" s="105" t="inlineStr">
        <is>
          <t>Northern US Government Select MMkt</t>
        </is>
      </c>
      <c r="C88" s="185" t="n">
        <v>1</v>
      </c>
      <c r="D88" s="186" t="n"/>
      <c r="E88" s="187" t="n"/>
      <c r="F88" s="187" t="n"/>
      <c r="G88" s="187" t="n"/>
      <c r="H88" s="187" t="n"/>
      <c r="I88" s="187" t="n"/>
      <c r="J88" s="187" t="n"/>
      <c r="K88" s="188" t="inlineStr">
        <is>
          <t>2026-05-20 04:13</t>
        </is>
      </c>
      <c r="L88" s="109" t="inlineStr">
        <is>
          <t>fixed $1.00</t>
        </is>
      </c>
    </row>
    <row r="89">
      <c r="A89" s="74" t="inlineStr">
        <is>
          <t>HODL</t>
        </is>
      </c>
      <c r="B89" s="105" t="inlineStr">
        <is>
          <t>VanEck Bitcoin ETF</t>
        </is>
      </c>
      <c r="C89" s="185" t="n">
        <v>21.71</v>
      </c>
      <c r="D89" s="186" t="n">
        <v>498200</v>
      </c>
      <c r="E89" s="187" t="n">
        <v>-0.00046042</v>
      </c>
      <c r="F89" s="187" t="n">
        <v>-0.04989065</v>
      </c>
      <c r="G89" s="187" t="n">
        <v>-0.00958034</v>
      </c>
      <c r="H89" s="187" t="n">
        <v>-0.27318385</v>
      </c>
      <c r="I89" s="187" t="n">
        <v>0.1433838</v>
      </c>
      <c r="J89" s="187" t="n"/>
      <c r="K89" s="188" t="inlineStr">
        <is>
          <t>2026-05-20 04:13</t>
        </is>
      </c>
      <c r="L89" s="109" t="inlineStr">
        <is>
          <t>yfinance</t>
        </is>
      </c>
    </row>
    <row r="90">
      <c r="A90" s="74" t="inlineStr">
        <is>
          <t>IBIT</t>
        </is>
      </c>
      <c r="B90" s="105" t="inlineStr">
        <is>
          <t>iShares Bitcoin Trust ETF</t>
        </is>
      </c>
      <c r="C90" s="185" t="n">
        <v>43.5</v>
      </c>
      <c r="D90" s="186" t="n">
        <v>25315200</v>
      </c>
      <c r="E90" s="187" t="n">
        <v>-0.00068915</v>
      </c>
      <c r="F90" s="187" t="n">
        <v>-0.05021832</v>
      </c>
      <c r="G90" s="187" t="n">
        <v>-0.01001362</v>
      </c>
      <c r="H90" s="187" t="n">
        <v>-0.27487917</v>
      </c>
      <c r="I90" s="187" t="n">
        <v>0.13636367</v>
      </c>
      <c r="J90" s="187" t="n"/>
      <c r="K90" s="188" t="inlineStr">
        <is>
          <t>2026-05-20 04:13</t>
        </is>
      </c>
      <c r="L90" s="109" t="inlineStr">
        <is>
          <t>yfinance</t>
        </is>
      </c>
    </row>
    <row r="91">
      <c r="A91" s="74" t="inlineStr">
        <is>
          <t>GPIQ</t>
        </is>
      </c>
      <c r="B91" s="105" t="inlineStr">
        <is>
          <t>GOLDMAN SACHS ETF TR GOLDMAN SACHS NASDAQ 100 PREMIUM INCOME ETF</t>
        </is>
      </c>
      <c r="C91" s="185" t="n">
        <v>57.04</v>
      </c>
      <c r="D91" s="186" t="n">
        <v>860300</v>
      </c>
      <c r="E91" s="187" t="n">
        <v>-0.00401606</v>
      </c>
      <c r="F91" s="187" t="n">
        <v>-0.00540536</v>
      </c>
      <c r="G91" s="187" t="n">
        <v>0.06580256</v>
      </c>
      <c r="H91" s="187" t="n">
        <v>0.32384064</v>
      </c>
      <c r="I91" s="187" t="n">
        <v>0.51867862</v>
      </c>
      <c r="J91" s="187" t="n"/>
      <c r="K91" s="188" t="inlineStr">
        <is>
          <t>2026-05-20 04:13</t>
        </is>
      </c>
      <c r="L91" s="109" t="inlineStr">
        <is>
          <t>yfinance</t>
        </is>
      </c>
    </row>
    <row r="92">
      <c r="A92" s="74" t="inlineStr">
        <is>
          <t>IAUI</t>
        </is>
      </c>
      <c r="B92" s="105" t="inlineStr">
        <is>
          <t>NEOS ETF TR NEOS GOLD HIGH INCOME ETF</t>
        </is>
      </c>
      <c r="C92" s="185" t="n">
        <v>54.83</v>
      </c>
      <c r="D92" s="186" t="n">
        <v>252300</v>
      </c>
      <c r="E92" s="187" t="n">
        <v>-0.0133165</v>
      </c>
      <c r="F92" s="187" t="n">
        <v>-0.04109826</v>
      </c>
      <c r="G92" s="187" t="n">
        <v>-0.06359982</v>
      </c>
      <c r="H92" s="187" t="n"/>
      <c r="I92" s="187" t="n"/>
      <c r="J92" s="187" t="n"/>
      <c r="K92" s="188" t="inlineStr">
        <is>
          <t>2026-05-20 04:13</t>
        </is>
      </c>
      <c r="L92" s="109" t="inlineStr">
        <is>
          <t>yfinance</t>
        </is>
      </c>
    </row>
    <row r="93">
      <c r="A93" s="74" t="inlineStr">
        <is>
          <t>AAAU</t>
        </is>
      </c>
      <c r="B93" s="105" t="inlineStr">
        <is>
          <t>Goldman Sachs Physical Gold ETF</t>
        </is>
      </c>
      <c r="C93" s="185" t="n">
        <v>44.2</v>
      </c>
      <c r="D93" s="186" t="n">
        <v>1651800</v>
      </c>
      <c r="E93" s="187" t="n">
        <v>-0.01646635</v>
      </c>
      <c r="F93" s="187" t="n">
        <v>-0.04946235</v>
      </c>
      <c r="G93" s="187" t="n">
        <v>-0.07705155</v>
      </c>
      <c r="H93" s="187" t="n">
        <v>0.38341157</v>
      </c>
      <c r="I93" s="187" t="n">
        <v>0.84782611</v>
      </c>
      <c r="J93" s="187" t="n">
        <v>1.36490099</v>
      </c>
      <c r="K93" s="188" t="inlineStr">
        <is>
          <t>2026-05-20 04:13</t>
        </is>
      </c>
      <c r="L93" s="109" t="inlineStr">
        <is>
          <t>yfinance</t>
        </is>
      </c>
    </row>
    <row r="94">
      <c r="A94" s="74" t="inlineStr">
        <is>
          <t>XPAY</t>
        </is>
      </c>
      <c r="B94" s="105" t="inlineStr">
        <is>
          <t>ROUNDHILL ETF TRUST ROUNDHILL S&amp;P 500 TARGET 20 MANAGED DISTRIBUTION ETF</t>
        </is>
      </c>
      <c r="C94" s="185" t="n">
        <v>53.32</v>
      </c>
      <c r="D94" s="186" t="n">
        <v>96900</v>
      </c>
      <c r="E94" s="187" t="n">
        <v>-0.00540946</v>
      </c>
      <c r="F94" s="187" t="n">
        <v>-0.00652131</v>
      </c>
      <c r="G94" s="187" t="n">
        <v>0.03481834</v>
      </c>
      <c r="H94" s="187" t="n">
        <v>0.23758196</v>
      </c>
      <c r="I94" s="187" t="n"/>
      <c r="J94" s="187" t="n"/>
      <c r="K94" s="188" t="inlineStr">
        <is>
          <t>2026-05-20 04:13</t>
        </is>
      </c>
      <c r="L94" s="109" t="inlineStr">
        <is>
          <t>yfinance</t>
        </is>
      </c>
    </row>
    <row r="95">
      <c r="A95" s="74" t="inlineStr">
        <is>
          <t>YMAG</t>
        </is>
      </c>
      <c r="B95" s="105" t="inlineStr">
        <is>
          <t>TIDAL TRUST II YIELDMAX MAGNIFICENT 7 FUND OF OPTION INCOME ETFS</t>
        </is>
      </c>
      <c r="C95" s="185" t="n">
        <v>12.8</v>
      </c>
      <c r="D95" s="186" t="n">
        <v>1540400</v>
      </c>
      <c r="E95" s="187" t="n">
        <v>-0.01081912</v>
      </c>
      <c r="F95" s="187" t="n">
        <v>-0.00698217</v>
      </c>
      <c r="G95" s="187" t="n">
        <v>0.02584333</v>
      </c>
      <c r="H95" s="187" t="n">
        <v>0.28501581</v>
      </c>
      <c r="I95" s="187" t="n">
        <v>0.48669012</v>
      </c>
      <c r="J95" s="187" t="n"/>
      <c r="K95" s="188" t="inlineStr">
        <is>
          <t>2026-05-20 04:13</t>
        </is>
      </c>
      <c r="L95" s="109" t="inlineStr">
        <is>
          <t>yfinance</t>
        </is>
      </c>
    </row>
    <row r="96">
      <c r="A96" s="74" t="inlineStr">
        <is>
          <t>FGXXX</t>
        </is>
      </c>
      <c r="B96" s="105" t="inlineStr">
        <is>
          <t>First American Government Obligs X</t>
        </is>
      </c>
      <c r="C96" s="185" t="n">
        <v>1</v>
      </c>
      <c r="D96" s="186" t="n"/>
      <c r="E96" s="187" t="n"/>
      <c r="F96" s="187" t="n"/>
      <c r="G96" s="187" t="n"/>
      <c r="H96" s="187" t="n"/>
      <c r="I96" s="187" t="n"/>
      <c r="J96" s="187" t="n"/>
      <c r="K96" s="188" t="inlineStr">
        <is>
          <t>2026-05-20 04:13</t>
        </is>
      </c>
      <c r="L96" s="109" t="inlineStr">
        <is>
          <t>fixed $1.00</t>
        </is>
      </c>
    </row>
    <row r="97">
      <c r="A97" s="74" t="inlineStr">
        <is>
          <t>FBY</t>
        </is>
      </c>
      <c r="B97" s="105" t="inlineStr">
        <is>
          <t>YieldMax META Option Income Strategy ETF</t>
        </is>
      </c>
      <c r="C97" s="185" t="n">
        <v>9.99</v>
      </c>
      <c r="D97" s="186" t="n">
        <v>113700</v>
      </c>
      <c r="E97" s="187" t="n">
        <v>-0.01089115</v>
      </c>
      <c r="F97" s="187" t="n">
        <v>0.00491084</v>
      </c>
      <c r="G97" s="187" t="n">
        <v>-0.08984502</v>
      </c>
      <c r="H97" s="187" t="n">
        <v>-0.05066541</v>
      </c>
      <c r="I97" s="187" t="n">
        <v>0.18333711</v>
      </c>
      <c r="J97" s="187" t="n"/>
      <c r="K97" s="188" t="inlineStr">
        <is>
          <t>2026-05-20 04:13</t>
        </is>
      </c>
      <c r="L97" s="109" t="inlineStr">
        <is>
          <t>yfinance</t>
        </is>
      </c>
    </row>
    <row r="98">
      <c r="A98" s="74" t="inlineStr">
        <is>
          <t>NVDY</t>
        </is>
      </c>
      <c r="B98" s="105" t="inlineStr">
        <is>
          <t>YieldMax NVDA Option Income Strategy ETF</t>
        </is>
      </c>
      <c r="C98" s="185" t="n">
        <v>14.11</v>
      </c>
      <c r="D98" s="186" t="n">
        <v>3351400</v>
      </c>
      <c r="E98" s="187" t="n">
        <v>-0.00633804</v>
      </c>
      <c r="F98" s="187" t="n">
        <v>-0.00711949</v>
      </c>
      <c r="G98" s="187" t="n">
        <v>0.05203703</v>
      </c>
      <c r="H98" s="187" t="n">
        <v>0.55688815</v>
      </c>
      <c r="I98" s="187" t="n">
        <v>0.95294657</v>
      </c>
      <c r="J98" s="187" t="n"/>
      <c r="K98" s="188" t="inlineStr">
        <is>
          <t>2026-05-20 04:13</t>
        </is>
      </c>
      <c r="L98" s="109" t="inlineStr">
        <is>
          <t>yfinance</t>
        </is>
      </c>
    </row>
    <row r="99">
      <c r="A99" s="74" t="inlineStr">
        <is>
          <t>MSFO</t>
        </is>
      </c>
      <c r="B99" s="105" t="inlineStr">
        <is>
          <t>YieldMax MSFT Option Income Strategy ETF</t>
        </is>
      </c>
      <c r="C99" s="185" t="n">
        <v>12.13</v>
      </c>
      <c r="D99" s="186" t="n">
        <v>180800</v>
      </c>
      <c r="E99" s="187" t="n">
        <v>-0.00979591</v>
      </c>
      <c r="F99" s="187" t="n">
        <v>0.01876508</v>
      </c>
      <c r="G99" s="187" t="n">
        <v>-0.009033609999999999</v>
      </c>
      <c r="H99" s="187" t="n">
        <v>-0.04140219</v>
      </c>
      <c r="I99" s="187" t="n">
        <v>0.01782185</v>
      </c>
      <c r="J99" s="187" t="n"/>
      <c r="K99" s="188" t="inlineStr">
        <is>
          <t>2026-05-20 04:13</t>
        </is>
      </c>
      <c r="L99" s="109" t="inlineStr">
        <is>
          <t>yfinance</t>
        </is>
      </c>
    </row>
    <row r="100">
      <c r="A100" s="74" t="inlineStr">
        <is>
          <t>TSLY</t>
        </is>
      </c>
      <c r="B100" s="105" t="inlineStr">
        <is>
          <t>YieldMax TSLA Option Income Strategy ETF</t>
        </is>
      </c>
      <c r="C100" s="185" t="n">
        <v>29.28</v>
      </c>
      <c r="D100" s="186" t="n">
        <v>1457100</v>
      </c>
      <c r="E100" s="187" t="n">
        <v>-0.01147874</v>
      </c>
      <c r="F100" s="187" t="n">
        <v>-0.05891728</v>
      </c>
      <c r="G100" s="187" t="n">
        <v>-0.00420634</v>
      </c>
      <c r="H100" s="187" t="n">
        <v>0.22142492</v>
      </c>
      <c r="I100" s="187" t="n">
        <v>0.7267474900000001</v>
      </c>
      <c r="J100" s="187" t="n"/>
      <c r="K100" s="188" t="inlineStr">
        <is>
          <t>2026-05-20 04:13</t>
        </is>
      </c>
      <c r="L100" s="109" t="inlineStr">
        <is>
          <t>yfinance</t>
        </is>
      </c>
    </row>
    <row r="101">
      <c r="A101" s="74" t="inlineStr">
        <is>
          <t>APLY</t>
        </is>
      </c>
      <c r="B101" s="105" t="inlineStr">
        <is>
          <t>YieldMax AAPL Option Income Strategy ETF</t>
        </is>
      </c>
      <c r="C101" s="185" t="n">
        <v>12.61</v>
      </c>
      <c r="D101" s="186" t="n">
        <v>78400</v>
      </c>
      <c r="E101" s="187" t="n">
        <v>0.00158852</v>
      </c>
      <c r="F101" s="187" t="n">
        <v>0.009626869999999999</v>
      </c>
      <c r="G101" s="187" t="n">
        <v>0.08286598000000001</v>
      </c>
      <c r="H101" s="187" t="n">
        <v>0.29771439</v>
      </c>
      <c r="I101" s="187" t="n">
        <v>0.32796828</v>
      </c>
      <c r="J101" s="187" t="n"/>
      <c r="K101" s="188" t="inlineStr">
        <is>
          <t>2026-05-20 04:13</t>
        </is>
      </c>
      <c r="L101" s="109" t="inlineStr">
        <is>
          <t>yfinance</t>
        </is>
      </c>
    </row>
    <row r="102">
      <c r="A102" s="74" t="inlineStr">
        <is>
          <t>AMZY</t>
        </is>
      </c>
      <c r="B102" s="105" t="inlineStr">
        <is>
          <t>YieldMax AMZN Option Income Strategy ETF</t>
        </is>
      </c>
      <c r="C102" s="185" t="n">
        <v>11.94</v>
      </c>
      <c r="D102" s="186" t="n">
        <v>1360900</v>
      </c>
      <c r="E102" s="187" t="n">
        <v>-0.02131149</v>
      </c>
      <c r="F102" s="187" t="n">
        <v>-0.02349417</v>
      </c>
      <c r="G102" s="187" t="n">
        <v>0.02301732</v>
      </c>
      <c r="H102" s="187" t="n">
        <v>0.18615909</v>
      </c>
      <c r="I102" s="187" t="n">
        <v>0.27268257</v>
      </c>
      <c r="J102" s="187" t="n"/>
      <c r="K102" s="188" t="inlineStr">
        <is>
          <t>2026-05-20 04:13</t>
        </is>
      </c>
      <c r="L102" s="109" t="inlineStr">
        <is>
          <t>yfinance</t>
        </is>
      </c>
    </row>
    <row r="103">
      <c r="A103" s="81" t="inlineStr">
        <is>
          <t>GOOY</t>
        </is>
      </c>
      <c r="B103" s="106" t="inlineStr">
        <is>
          <t>YieldMax GOOGL Option Income Stgy ETF</t>
        </is>
      </c>
      <c r="C103" s="189" t="n">
        <v>14.96</v>
      </c>
      <c r="D103" s="190" t="n">
        <v>1551100</v>
      </c>
      <c r="E103" s="191" t="n">
        <v>-0.01837269</v>
      </c>
      <c r="F103" s="191" t="n">
        <v>0.00371575</v>
      </c>
      <c r="G103" s="191" t="n">
        <v>0.11501613</v>
      </c>
      <c r="H103" s="191" t="n">
        <v>0.98992864</v>
      </c>
      <c r="I103" s="191" t="n">
        <v>0.88082653</v>
      </c>
      <c r="J103" s="191" t="n"/>
      <c r="K103" s="192" t="inlineStr">
        <is>
          <t>2026-05-20 04:13</t>
        </is>
      </c>
      <c r="L103" s="110" t="inlineStr">
        <is>
          <t>yfinance</t>
        </is>
      </c>
    </row>
    <row r="104"/>
    <row r="105"/>
    <row r="106">
      <c r="A106" s="114" t="inlineStr">
        <is>
          <t>Daily checklist</t>
        </is>
      </c>
      <c r="B106" s="17" t="n"/>
      <c r="C106" s="17" t="n"/>
      <c r="D106" s="17" t="n"/>
    </row>
    <row r="107">
      <c r="A107" s="123" t="inlineStr">
        <is>
          <t>Total tickers</t>
        </is>
      </c>
      <c r="B107" s="116" t="n">
        <v>98</v>
      </c>
    </row>
    <row r="108">
      <c r="A108" s="124" t="inlineStr">
        <is>
          <t>Tickers with price entered</t>
        </is>
      </c>
      <c r="B108" s="117">
        <f>COUNT(C6:C103)</f>
        <v/>
      </c>
    </row>
    <row r="109">
      <c r="A109" s="124" t="inlineStr">
        <is>
          <t>Tickers missing price</t>
        </is>
      </c>
      <c r="B109" s="117">
        <f>B107-B108</f>
        <v/>
      </c>
    </row>
    <row r="110">
      <c r="A110" s="124" t="inlineStr">
        <is>
          <t>Last refresh date</t>
        </is>
      </c>
      <c r="B110" s="193">
        <f>MAX(K6:K103)</f>
        <v/>
      </c>
    </row>
    <row r="111">
      <c r="A111" s="125" t="inlineStr">
        <is>
          <t>Rows feeding Sheet1</t>
        </is>
      </c>
      <c r="B111" s="118">
        <f>ROWS(Sheet1!$A$5:$A$392)</f>
        <v/>
      </c>
    </row>
  </sheetData>
  <mergeCells count="3">
    <mergeCell ref="A3:L3"/>
    <mergeCell ref="A1:L1"/>
    <mergeCell ref="A106:D10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style="10" min="1" max="1"/>
    <col width="36" customWidth="1" style="10" min="2" max="2"/>
    <col width="22" customWidth="1" style="10" min="3" max="3"/>
    <col width="46" customWidth="1" style="10" min="4" max="4"/>
  </cols>
  <sheetData>
    <row r="1">
      <c r="A1" s="36" t="inlineStr">
        <is>
          <t>Daily Update Process</t>
        </is>
      </c>
      <c r="B1" s="17" t="n"/>
      <c r="C1" s="17" t="n"/>
      <c r="D1" s="17" t="n"/>
      <c r="E1" s="17" t="n"/>
      <c r="F1" s="17" t="n"/>
    </row>
    <row r="3">
      <c r="A3" s="113" t="inlineStr">
        <is>
          <t>Step</t>
        </is>
      </c>
      <c r="B3" s="113" t="inlineStr">
        <is>
          <t>What to do</t>
        </is>
      </c>
      <c r="C3" s="113" t="inlineStr">
        <is>
          <t>Where</t>
        </is>
      </c>
      <c r="D3" s="113" t="inlineStr">
        <is>
          <t>Notes</t>
        </is>
      </c>
      <c r="E3" s="113" t="str"/>
      <c r="F3" s="113" t="str"/>
    </row>
    <row r="4">
      <c r="A4" s="140" t="n">
        <v>1</v>
      </c>
      <c r="B4" s="141" t="inlineStr">
        <is>
          <t>Open the Daily Update sheet.</t>
        </is>
      </c>
      <c r="C4" s="141" t="inlineStr">
        <is>
          <t>Daily Update</t>
        </is>
      </c>
      <c r="D4" s="141" t="inlineStr">
        <is>
          <t>Only edit the yellow columns.</t>
        </is>
      </c>
      <c r="E4" s="141" t="str"/>
      <c r="F4" s="142" t="str"/>
    </row>
    <row r="5">
      <c r="A5" s="143" t="n">
        <v>2</v>
      </c>
      <c r="B5" s="144" t="inlineStr">
        <is>
          <t>Update the Workbook last updated date if needed.</t>
        </is>
      </c>
      <c r="C5" s="144" t="inlineStr">
        <is>
          <t>Daily Update!B2</t>
        </is>
      </c>
      <c r="D5" s="144" t="inlineStr">
        <is>
          <t>It currently uses =TODAY(), so it changes automatically when opened.</t>
        </is>
      </c>
      <c r="E5" s="144" t="str"/>
      <c r="F5" s="145" t="str"/>
    </row>
    <row r="6">
      <c r="A6" s="143" t="n">
        <v>3</v>
      </c>
      <c r="B6" s="144" t="inlineStr">
        <is>
          <t>Paste or type market data for each ticker.</t>
        </is>
      </c>
      <c r="C6" s="144" t="inlineStr">
        <is>
          <t>Daily Update columns C:J</t>
        </is>
      </c>
      <c r="D6" s="144" t="inlineStr">
        <is>
          <t>Use decimals for percentages if Excel does not auto-convert: 1.5% = 0.015.</t>
        </is>
      </c>
      <c r="E6" s="144" t="str"/>
      <c r="F6" s="145" t="str"/>
    </row>
    <row r="7">
      <c r="A7" s="143" t="n">
        <v>4</v>
      </c>
      <c r="B7" s="144" t="inlineStr">
        <is>
          <t>Enter Last Updated and Source/Notes.</t>
        </is>
      </c>
      <c r="C7" s="144" t="inlineStr">
        <is>
          <t>Daily Update columns K:L</t>
        </is>
      </c>
      <c r="D7" s="144" t="inlineStr">
        <is>
          <t>This helps you know which rows were refreshed.</t>
        </is>
      </c>
      <c r="E7" s="144" t="str"/>
      <c r="F7" s="145" t="str"/>
    </row>
    <row r="8">
      <c r="A8" s="143" t="n">
        <v>5</v>
      </c>
      <c r="B8" s="144" t="inlineStr">
        <is>
          <t>Return to Sheet1.</t>
        </is>
      </c>
      <c r="C8" s="144" t="inlineStr">
        <is>
          <t>Sheet1 columns G:N</t>
        </is>
      </c>
      <c r="D8" s="144" t="inlineStr">
        <is>
          <t>Those columns pull from Daily Update using ticker matching.</t>
        </is>
      </c>
      <c r="E8" s="144" t="str"/>
      <c r="F8" s="145" t="str"/>
    </row>
    <row r="9">
      <c r="A9" s="143" t="n">
        <v>6</v>
      </c>
      <c r="B9" s="144" t="inlineStr">
        <is>
          <t>Check the checklist.</t>
        </is>
      </c>
      <c r="C9" s="144" t="inlineStr">
        <is>
          <t>Daily Update bottom section</t>
        </is>
      </c>
      <c r="D9" s="144" t="inlineStr">
        <is>
          <t>Missing price count should be 0 when your update is complete.</t>
        </is>
      </c>
      <c r="E9" s="144" t="str"/>
      <c r="F9" s="145" t="str"/>
    </row>
    <row r="10">
      <c r="A10" s="143" t="n"/>
      <c r="B10" s="144" t="n"/>
      <c r="C10" s="144" t="n"/>
      <c r="D10" s="144" t="n"/>
      <c r="E10" s="144" t="n"/>
      <c r="F10" s="145" t="n"/>
    </row>
    <row r="11">
      <c r="A11" s="143" t="n"/>
      <c r="B11" s="144" t="n"/>
      <c r="C11" s="144" t="n"/>
      <c r="D11" s="144" t="n"/>
      <c r="E11" s="144" t="n"/>
      <c r="F11" s="145" t="n"/>
    </row>
    <row r="12">
      <c r="A12" s="143" t="n"/>
      <c r="B12" s="144" t="n"/>
      <c r="C12" s="144" t="n"/>
      <c r="D12" s="144" t="n"/>
      <c r="E12" s="144" t="n"/>
      <c r="F12" s="145" t="n"/>
    </row>
    <row r="13">
      <c r="A13" s="143" t="n"/>
      <c r="B13" s="144" t="n"/>
      <c r="C13" s="144" t="n"/>
      <c r="D13" s="144" t="n"/>
      <c r="E13" s="144" t="n"/>
      <c r="F13" s="145" t="n"/>
    </row>
    <row r="14">
      <c r="A14" s="143" t="n"/>
      <c r="B14" s="144" t="n"/>
      <c r="C14" s="144" t="n"/>
      <c r="D14" s="144" t="n"/>
      <c r="E14" s="144" t="n"/>
      <c r="F14" s="145" t="n"/>
    </row>
    <row r="15">
      <c r="A15" s="143" t="n"/>
      <c r="B15" s="144" t="n"/>
      <c r="C15" s="144" t="n"/>
      <c r="D15" s="144" t="n"/>
      <c r="E15" s="144" t="n"/>
      <c r="F15" s="145" t="n"/>
    </row>
    <row r="16">
      <c r="A16" s="146" t="n"/>
      <c r="B16" s="147" t="n"/>
      <c r="C16" s="147" t="n"/>
      <c r="D16" s="147" t="n"/>
      <c r="E16" s="147" t="n"/>
      <c r="F16" s="148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2026-05-20T03:54:11Z</dcterms:created>
  <dcterms:modified xsi:type="dcterms:W3CDTF">2026-05-20T04:13:16Z</dcterms:modified>
</cp:coreProperties>
</file>